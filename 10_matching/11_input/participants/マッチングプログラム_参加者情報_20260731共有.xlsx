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jpnpwc.sharepoint.com/teams/JP-EXT-NEDO-Challenge-Intinfra/Shared Documents/04_deliverables/20_事前マッチング・勉強会・事前WS/参加受付状況/参加者情報_共有用/"/>
    </mc:Choice>
  </mc:AlternateContent>
  <xr:revisionPtr revIDLastSave="480" documentId="11_0E01626FDBC10F19E42F0D24E14F0D47D0A16883" xr6:coauthVersionLast="47" xr6:coauthVersionMax="47" xr10:uidLastSave="{0604A81B-AC34-4596-AE1F-A8F96E769856}"/>
  <bookViews>
    <workbookView xWindow="-135" yWindow="-16335" windowWidth="29070" windowHeight="15750" xr2:uid="{00000000-000D-0000-FFFF-FFFF00000000}"/>
  </bookViews>
  <sheets>
    <sheet name="参加者リスト(-0731)" sheetId="1" r:id="rId1"/>
  </sheets>
  <definedNames>
    <definedName name="_xlnm._FilterDatabase" localSheetId="0" hidden="1">'参加者リスト(-0731)'!$A$1:$J$1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3" i="1" l="1"/>
  <c r="A2" i="1" l="1"/>
  <c r="A3" i="1"/>
  <c r="A4" i="1"/>
  <c r="A5" i="1"/>
  <c r="A6" i="1"/>
  <c r="A7" i="1"/>
  <c r="A8" i="1"/>
  <c r="A9" i="1"/>
</calcChain>
</file>

<file path=xl/sharedStrings.xml><?xml version="1.0" encoding="utf-8"?>
<sst xmlns="http://schemas.openxmlformats.org/spreadsheetml/2006/main" count="180" uniqueCount="150">
  <si>
    <t>#</t>
    <phoneticPr fontId="1"/>
  </si>
  <si>
    <t>氏名</t>
    <rPh sb="0" eb="2">
      <t>シメイ</t>
    </rPh>
    <phoneticPr fontId="1"/>
  </si>
  <si>
    <t>マッチングプログラム参加の動機</t>
    <rPh sb="10" eb="12">
      <t>サンカ</t>
    </rPh>
    <rPh sb="13" eb="15">
      <t>ドウキ</t>
    </rPh>
    <phoneticPr fontId="1"/>
  </si>
  <si>
    <t>データ利活用に関する知見（技術シーズ）</t>
    <rPh sb="3" eb="6">
      <t>リカツヨウ</t>
    </rPh>
    <rPh sb="7" eb="8">
      <t>カン</t>
    </rPh>
    <rPh sb="10" eb="12">
      <t>チケン</t>
    </rPh>
    <rPh sb="13" eb="15">
      <t>ギジュツ</t>
    </rPh>
    <phoneticPr fontId="1"/>
  </si>
  <si>
    <t>社会インフラ分野に関する知見（課題・ニーズ）</t>
    <phoneticPr fontId="1"/>
  </si>
  <si>
    <t>自身に対する自由記述</t>
    <rPh sb="0" eb="2">
      <t>ジシン</t>
    </rPh>
    <rPh sb="3" eb="4">
      <t>タイ</t>
    </rPh>
    <rPh sb="6" eb="10">
      <t>ジユウキジュツ</t>
    </rPh>
    <phoneticPr fontId="1"/>
  </si>
  <si>
    <t>事業化や共同研究に向けて取り組みたいこと</t>
    <rPh sb="0" eb="3">
      <t>ジギョウカ</t>
    </rPh>
    <rPh sb="4" eb="8">
      <t>キョウドウケンキュウ</t>
    </rPh>
    <rPh sb="9" eb="10">
      <t>ム</t>
    </rPh>
    <rPh sb="12" eb="13">
      <t>ト</t>
    </rPh>
    <rPh sb="14" eb="15">
      <t>ク</t>
    </rPh>
    <phoneticPr fontId="1"/>
  </si>
  <si>
    <t>希望するマッチング先</t>
    <rPh sb="0" eb="2">
      <t>キボウ</t>
    </rPh>
    <rPh sb="9" eb="10">
      <t>サキ</t>
    </rPh>
    <phoneticPr fontId="1"/>
  </si>
  <si>
    <t>懸念事項・共有事項等</t>
    <rPh sb="0" eb="4">
      <t>ケネンジコウ</t>
    </rPh>
    <rPh sb="5" eb="10">
      <t>キョウユウジコウトウ</t>
    </rPh>
    <phoneticPr fontId="1"/>
  </si>
  <si>
    <t>関心のあるテーマ</t>
    <rPh sb="0" eb="2">
      <t>カンシン</t>
    </rPh>
    <phoneticPr fontId="1"/>
  </si>
  <si>
    <t>アハクラフト株式会社</t>
  </si>
  <si>
    <t>iterra-tech-team</t>
  </si>
  <si>
    <t>復建調査設計株式会社（インフラ×衛星データ検討チーム）</t>
  </si>
  <si>
    <t>技術シーズ保有者を探している</t>
    <phoneticPr fontId="1"/>
  </si>
  <si>
    <t>課題・ニーズ保有者を探している</t>
    <phoneticPr fontId="1"/>
  </si>
  <si>
    <t>私たちは、GISデータ処理、空間解析、業務向けアルゴリズム開発を中心に事業を行っています。QGIS、Python系GISモジュール等を用いたデータ加工・分析・可視化に加え、標準GIS機能だけでは対応しにくい個別業務向けの処理自動化や分析モデル開発を行ってきました。
水インフラ領域では、浸水解析モデルの前処理として、高解像度DEMと管渠網を用い、集水範囲線（サブキャッチメント）を自動生成するサービスを開発・導入した実績があります。DEMベースの流向解析、窪地処理、境界生成、属性・ID付番、トポロジ不整合のQC、InfoWorks ICM等に合わせた出力形式への変換までを一連の処理として実装しています。
今回のNEDO Challengeでは、海外で進む衛星InSARによる地盤変位監視、衛星画像による漏水候補抽出、管内CCTV映像のAI診断といった事例を参考に、衛星・現場点検・台帳・GISを組み合わせた水インフラ維持管理支援への展開を検討したいです。
当社の強みは、衛星解析結果そのものではなく、衛星解析結果、行政GISデータ、DEM、管渠・河川・流域データ、CCTV/点検記録、台帳データ等を、実務で使えるGISデータ・解析ワークフロー・業務システムに接続する部分です。</t>
  </si>
  <si>
    <t>株式会社イテラソリューションズは、画像処理・画像認識AI・3次元センシング・生成AIをコア技術とする研究開発型企業です。これまで画像認識、物体検出、トラッキング、フォトグラメトリ、RAGシステム等のPoCおよび実用システム開発を行ってきました。可視領域の画像にとどまらず、赤外画像など広範に知見があります。
衛星データ解析そのものの実務経験は限定的ですが、AIによる物体検出、変化検知、セグメンテーション、3Dモデル生成、時系列データ解析、画像特徴抽出など、衛星データ利活用に応用可能な技術基盤を保有しています。
特にNEDO Challengeで対象となるインフラマネジメント領域においては、衛星画像・SAR・PLATEAU等の3D都市モデルとAI画像解析を組み合わせ、インフラ構造物の劣化兆候検知、土地利用変化検出、都市活動モニタリング、防災・災害対応支援への応用可能性を検討しています。
また、ドローン画像を用いた農作物検出、3D復元技術、AI画像解析システム開発の経験を有しており、広域観測データの解析やデジタルツイン構築への展開を視野に入れています。</t>
  </si>
  <si>
    <t>当社は総合建設コンサルタントとして、社会インフラの機能維持・レジリエンス強化・永続性を目的に、構想検討、企画・計画、測量・調査・設計、維持管理を行っています。この中で「UAVや地上レーザスキャナ等の3次元計測による社会インフラ整備」や「3D都市モデルやデジタルツインの社会実装に向けた取組」、また「AIを活用したインフラマネジメントの高度化」等に取り組んでいますが、衛星データを本格的に活用した実務経験は限定的であり、広域・面的な状態把握や時系列解析への展開可能性に強い関心を持っています。インフラマネジメントや防災・減災対応の現場知見と衛星データシーズと組み合わせることで、両テーマでの社会実装を加速したいと考えています。</t>
  </si>
  <si>
    <t>私たちは、都市排水、浸水解析、流域・集水域データ整備に関わるGIS処理を扱っており、社会インフラ分野では特に、水害対策、雨水管理、上下水道、河川・流域管理、都市インフラ維持管理に関心があります。
現場では、解析モデルを作る前段階で、地形データ、管渠網、マンホール、河川データ、流域界、土地利用、行政区域、施設台帳、点検記録などが別々に存在し、座標・粒度・属性・ID体系が揃っていないため、モデル構築や維持管理データ活用の前処理に大きな手間が発生します。また、境界の重複・隙間、未接続、属性の欠落、手作業によるID付番ミスなどが、解析や意思決定の品質に影響します。
一方で、衛星データだけで地下管路を直接把握することは困難です。そのため、衛星データは単独利用ではなく、InSARによる地盤変位、光学画像・航空写真による地表変化、既存台帳、CCTV調査、道路・地形データ等と組み合わせ、管路リスク、調査優先箇所、台帳不整合、浸水解析モデル更新に使える情報へ変換することが重要だと考えています。</t>
  </si>
  <si>
    <t>当社は1946年の創業以来、広島市に本社を置く総合建設コンサルタントであり、社会インフラ全般の構想検討や企画・計画から測量・調査・設計・維持管理までを一貫して提供しています。主要顧客は国の機関や都道府県・市町村の地方公共団体となります。以下、当社が有する知見です。
■インフラマネジメント領域（テーマ1関連）
・社会インフラ全般の法定点検、長寿命化計画の策定（優先順位付け）、予防保全型維持管理の導入支援
・社会インフラ全般の補修・補強・修繕設計
・3D都市モデル／デジタルツインを活用したインフラ・都市データ基盤の構築支援
・「持続可能なインフラマネジメント（包括的民間委託＋DX技術）」に関する取組支援
■防災・災害対応領域（テーマ2関連）
・国及び地方公共団体の各種防災計画の策定支援
・地震防災対策、洪水対策、砂防・斜面防災対策等の対策方針の策定、被害予測シミュレーション、これらに関わる調査・設計
・大規模盛土の調査・解析・安定性評価、盛土規制法の運用支援（自治体での実績多数）
・住民を対象とした地域防災力向上支援
これらの実務を通じて、自治体・国の発注者ネットワークを通じた実証フィールドへのアクセスが可能です。
一方、従来手法では、対象施設の膨大さ、技術者不足、災害の広域化・激甚化に対して限界が顕在化しつつあり、「広域・面的・高頻度に状態把握できる新たな技術」と「既存技術・既存データとの融合」が当社の喫緊の課題となっています。</t>
  </si>
  <si>
    <t>私たちは、GISとプログラミングを組み合わせ、現場ごとのデータ形式・業務ロジック・解析条件に合わせて、実務で使える処理基盤を構築することを得意としています。
特に、地形・流向・集水域・河川・管渠といった水文地形データを扱う案件では、単なる地図作成ではなく、解析モデルに投入できる一貫したデータへ変換すること、処理を再現可能なワークフローにすること、品質チェックを組み込むことを重視しています。実際に、水コンサルタント向けに、浸水解析モデルの前処理として、DEMと管渠網を用いた集水範囲線（サブキャッチメント）自動生成サービスを開発・導入した実績があります。
共同研究・事業化の相手に対しては、衛星データやインフラ現場データを、GIS上で検証可能な形に整備し、解析・可視化・業務システム連携まで落とし込む実装面で貢献できます。研究アイデアをPoCで終わらせず、自治体・インフラ事業者・建設コンサルタント等が使える形に近づける役割を担いたいと考えています。</t>
  </si>
  <si>
    <t>当社はAIアルゴリズム開発からシステム実装、Web・クラウド・モバイルアプリ開発まで一貫して対応可能です。
特に画像認識AI、物体検出、トラッキング、フォトグラメトリ、3D復元、RAG/生成AIに強みを有しており、PoCから社会実装まで伴走できます。
本プログラムでは、社会インフラ分野の知見や実データを保有する自治体・インフラ事業者・研究機関との連携を通じて、衛星データとAI技術を融合した実用的なソリューション創出を目指します。
異分野連携を重視しており、技術検証や共同研究についてオープンに議論できるパートナーとの協業を希望しています。</t>
  </si>
  <si>
    <t>当社は「未来社会創造企業」を掲げ、コア領域である社会インフラの高度化と、新領域への挑戦を経営戦略に据えています。DX推進センターを中心に、産官学連携・オープンイノベーションによる外部シーズの取り込みを積極的に進めており、本コンテストもその重要な機会と位置付けています。
【共同研究パートナーへ提供できる価値】
・国の機関や地方公共団体（特に中国地方を中心）との長年のリレーションと、実証フィールド・公的データへのアクセス
・橋梁・道路・トンネル・河川・砂防・海岸・港湾・漁港・上下水道など幅広いインフラ分野での現場知見と、定期点検・診断・修繕設計等の一次データ
・特に、大規模盛土については過年度業務を通じて、地形・規模・地質条件の異なる多様な現地データ（地形測量、地質調査、変状履歴等）を保有
・自社保有の3D計測機材（UAV、地上レーザ、SLAM、マルチビーム）による地上参照（Ground Truth）データの提供可能性
・自社開発GIS（QGISプラグイン）、3D都市モデル、WEBハザードマップ等の可視化基盤
・防災シミュレーション（地震・津波・高潮・土砂災害）の解析知見
・全国の支社・支店網（東京・大阪・名古屋・福岡・東北・四国・九州ほか）による現地対応力
【姿勢】
バックグラウンドの異なる方との協働を重視し、技術シーズ側の意図を尊重しながら、当社の現場知見を融合させ、PoCで終わらせず社会実装・事業化まで責任を持って進めることを志向します。コンテスト後の継続的な共同研究・協業も歓迎します。</t>
  </si>
  <si>
    <t>衛星データ、DEM、行政GISデータ、管渠・マンホール台帳、CCTV/点検記録、浸水解析モデルを組み合わせ、上下水道・雨水排水インフラの維持管理と防災判断を支援するGISソリューションを検討したいです。
海外では、衛星InSARによる地盤変位監視を管路リスク管理に活用する事例、衛星画像から漏水候補箇所を抽出する事例、CCTV調査映像をAIで判読して下水・雨水管の状態評価を効率化する事例が出ています。これらは、地下管路を衛星で直接見るのではなく、衛星・現場調査・台帳・GISを統合して、維持管理判断を高度化する方向です。
当社としては、以下のようなテーマで実証を組成したいです。
・衛星InSARによる地盤変位情報と管渠・マンホール台帳を重ね、管路リスク箇所を抽出する
・CCTV/点検記録、管渠属性、地形・道路・浸水履歴を統合し、調査・改築の優先順位をGISで可視化する
・雨水排水モデルの前処理として、DEM、管渠網、道路、流域界、衛星・航空写真由来の地表変化を組み合わせ、サブキャッチメントやモデル入力データを更新する
・災害後に衛星画像や浸水痕跡情報を既存の流域・管渠・行政区域データと接続し、被害把握や再解析を支援する
社会的意義は、人口減少・技術者不足の中で、現地確認だけに依存したインフラ管理を補完し、限られた点検・更新予算を高リスク箇所へ集中させることです。</t>
  </si>
  <si>
    <t>衛星データとAI画像解析技術を組み合わせ、インフラ管理および防災分野における新たなソリューション創出に取り組みたいと考えています。
具体的には以下を検討しています。
・衛星画像とPLATEAUを活用した都市モデル更新支援
・道路・橋梁・法面等の異常リスク可視化
・災害発生時の広域被害状況把握
・インフラ点検の優先順位付け支援
・変化検知AIによる土地利用・建物更新モニタリング
・植生変化を利用した森林管理・山崩れなどの災害予測
人手不足や老朽化が進む社会インフラ分野において、広域かつ継続的なモニタリングを実現することで、維持管理コスト削減と安全性向上への貢献を目指します。</t>
  </si>
  <si>
    <t>【最も希望するマッチング先】
・上下水道、雨水排水、都市排水、浸水対策、河川・防災領域で、実証フィールドや現場課題を持つ自治体・インフラ事業者
・水道・下水道・雨水排水の台帳、マンホール、管渠、CCTV/点検記録、浸水履歴、補修履歴等の実データ活用を相談できる方
・水インフラ維持管理、浸水解析、管路調査、改築計画、災害対応に関わる建設コンサルタント・水コンサルタント
・InSAR、衛星画像、航空写真、CCTV解析等の結果を、現場業務や既存GIS・台帳・解析モデルに接続したい方
【必須ではないが歓迎する条件】
・実証成果が有効な場合、完成したサービス・成果物の導入、購入、共同提案、継続利用を検討できること
・対象エリア、対象インフラ、解きたい課題、利用可能データがある程度明確であること
【こちらが提供できること】
GISデータ処理、DEM・流向・集水域解析、行政GIS・台帳データの統合、管渠・河川・流域データの品質確認、解析ワークフローの自動化、InfoWorks ICM等の解析モデル向けデータ整備を提供できます。</t>
  </si>
  <si>
    <t>【マッチング希望先】
・インフラ維持管理分野の専門家
・自治体、道路会社、鉄道会社、インフラ管理事業者
・PLATEAUやGISを活用した研究者・技術者
・衛星リモートセンシングやSAR解析の専門家
・実証フィールドや点検データを保有する組織
【必須要件】
・社会インフラ分野の課題や運用実態に関する知見を有すること
【希望要件】
・実証データや評価環境を提供いただけること
・共同でPoCや事業化検討に取り組めること
【求めるコミットメント】
月1～2回程度のオンラインミーティングを想定しています。</t>
  </si>
  <si>
    <t>【マッチング希望先（必須要件）】
・衛星データ（SAR、光学、ハイパースペクトル等）の取得・前処理・解析に関する技術シーズを保有する事業者・研究機関
・特に、InSAR時系列解析、変化抽出、AIによる地表面・構造物の微小変位／異常検知、クラウド上での大規模衛星データ処理基盤の知見をお持ちの方
・自社で衛星データAPI／プラットフォーム／解析エンジンを提供されている事業者
【希望要件】
・社会インフラや防災分野、特に盛土・斜面・土構造物への適用経験、または強い関心をお持ちの方
・PoCで終わらせず、社会実装・事業化を共に目指す意欲のある方
・国土交通省及び地方公共団体関連の業務スキームへの理解（または学ぶ意欲）がある方
【求めるコミットメント】
・必要に応じて秘密保持契約（NDA）を締結したうえでの情報共有</t>
  </si>
  <si>
    <t>衛星データ活用については現在知見獲得段階のため、リモートセンシングやインフラ維持管理に関する専門家との連携を重視しています。
また、共同研究開始時には必要に応じて秘密保持契約（NDA）の締結を希望します。</t>
  </si>
  <si>
    <t>・当社本社は広島市にありますが、東京・大阪・高松・福岡をはじめ全国に支社・支店を有しており、対面・オンラインいずれの連携にも柔軟に対応可能です。
・本命テーマで想定している実証フィールド（自治体保有データ）については、現在、発注者へのデータ使用許可申請を準備中です。
・許可取得を前提に進めますが、許可状況によってはフィールドの変更可能性があります。
・なお、実証フィールドの使用許可が得られない場合は、本コンテストへの応募を断念することも考えています。
・発注者（国・自治体）から預託されたデータには取扱制限のあるものが含まれるため、共同研究にあたっては秘密保持契約の締結をお願いする場合があります。
・コンテスト応募後の継続的な事業化・共同研究を重視しており、短期的な賞金獲得のみを目的とした連携は想定しておりません。</t>
  </si>
  <si>
    <t>画像・動画解析、OCR/LLM/VLM、ビッグデータ解析、時系列予測、数理最適化を組み合わせたオーダーメイドAI開発を行っています。これまで、、衛星画像の分類・物体検知、図面・ドローン画像からの構造物情報抽出、非定型書類のOCR/LLM解析、ログデータを用いたビッグデータ分析、製造業における外観検査自動化、小売店の棚画像解析など、異なる形式・品質のデータを統合し、業務判断に使える構造化データへ変換するプロジェクトに取り組んできました。
衛星データそのものを主対象とした実用開発実績は今後拡張していく段階ですが、衛星画像の解析に必要となるコンピュータビジョン、物体検知、変化検知、セグメンテーション、時系列変化の分析、異常検知、地理情報・外部データとの統合、説明可能なAIモデル設計については、既存の画像解析・時系列解析・最適化技術を応用可能です。特に、インフラ構造物や周辺環境の変化把握、災害前後の状況差分抽出、広域モニタリング結果の優先順位付け、現地点検データや台帳データとの突合において、弊社の技術シーズを活用できると考えています。
また、AIモデル単体ではなく、データ収集、前処理、アノテーション設計、モデル開発、評価指標設計、ダッシュボード化、現場業務への組み込みまで一気通貫で支援できる点が弊社の特徴です。本プログラムでは、インフラマネジメントや防災・災害対応の現場課題を持つ事業者・自治体等と連携し、衛星データ、3D都市モデル、点検記録、センサデータ、現地画像などを統合した、実用性の高いAI解析・意思決定支援ソリューションの共同検討を行いたいと考えています。</t>
    <phoneticPr fontId="1"/>
  </si>
  <si>
    <t>社会インフラを直接保有・管理する立場ではありませんが、AI・画像解析・データ統合技術を提供する技術者として、社会インフラ分野には、老朽化の進行、点検・維持管理人材の不足、災害時の広域状況把握の難しさという課題があると認識しています。道路橋、トンネル、上下水道、河川管理施設等は対象数が多く、従来の現地点検・目視確認だけでは、限られた人員・予算の中で効率的に劣化兆候や異常箇所を把握することが難しくなっています。
また、衛星画像、ドローン画像、現地写真、点検記録、台帳、センサデータ、3D都市モデル等のデータは存在するものの、形式や更新頻度が異なるため、統合的な判断に活用しきれていないケースが多いと考えています。防災・災害対応においても、被災範囲や異常箇所を早期に把握し、現地確認・復旧対応の優先順位を決める仕組みが重要です。
これからは、衛星データや現地画像からの変化検知・異常検知、構造物や周辺環境のセグメンテーション、点検記録・台帳との突合、補修・確認優先度のスコアリング、ダッシュボード化などを通じて、インフラ管理者が限られたリソースで効率的に判断できる仕組みづくりに貢献したいと考えています。</t>
    <phoneticPr fontId="1"/>
  </si>
  <si>
    <t>弊社は、画像・動画解析、OCR/LLM/VLM、時系列予測、異常検知、数理最適化、ビッグデータ解析を組み合わせ、個別業務に合わせたオーダーメイドAIを開発する技術チームです。代表を含む博士級メンバーを中心に、AIモデル単体の開発に留まらず、データ設計、前処理、アノテーション方針、評価指標設計、プロトタイプ開発、業務システムへの実装、ダッシュボード化まで一気通貫で支援できることが強みです。
本マッチングプログラムでは、社会インフラや防災・災害対応の課題を持つ自治体・インフラ管理者・事業会社・研究機関の皆様と連携し、衛星データ、航空写真、ドローン画像、現地写真、点検記録、台帳、センサデータ、3D都市モデル等を統合したAI解析・意思決定支援の共同研究を行いたいと考えています。特に、インフラ構造物や周辺環境の変化検知、災害前後の差分抽出、異常候補地点の自動抽出、現地点検の優先順位付け、点検記録や台帳との突合、補修・確認候補のスコアリングといった領域で貢献できます。
共同研究相手に提供できるメリットとして、第一に、衛星画像や現地画像を業務判断に使える構造化データへ変換する画像解析・AI開発の知見があります。第二に、課題の抽象度が高い段階から、実際にPoC可能な技術要件・データ要件・評価指標へ落とし込む要件定義力があります。第三に、研究開発だけで終わらせず、現場担当者が使えるダッシュボード、アラート、優先順位リスト、レポート出力などの形に実装するシステム開発力があります。
弊社は社会インフラ台帳や衛星データを自社で大規模保有する立場ではありませんが、公開衛星データ・オープンデータを活用した検証環境の構築、共同研究相手が保有する点検・台帳・センサ・現地画像データとの安全な統合、モデル検証用データセットの作成、継続的に精度改善できる解析パイプラインの構築を提供できます。課題保有者の現場知見と、弊社のAI・データ利活用技術を組み合わせることで、広域インフラ管理や災害対応における「どこを優先的に確認すべきか」を迅速に判断できる実用的なソリューションを共創したいと考えています。</t>
    <phoneticPr fontId="1"/>
  </si>
  <si>
    <t>弊社は、衛星データ・航空写真・ドローン画像・現地写真・点検記録・台帳・センサデータ・3D都市モデル等を統合し、社会インフラの維持管理および防災・災害対応に活用できるAI解析基盤の共同研究・事業化に取り組みたいと考えています。
具体的には、道路橋、トンネル、河川管理施設、上下水道、港湾施設、法面・盛土、道路周辺環境等を対象に、衛星画像等から変化検知・異常検知・災害前後の差分抽出を行い、現地点検データやインフラ台帳と突合することで、「現地確認すべき候補」「確認優先度」「想定リスク」を提示する意思決定支援ツールを開発したいです。
本取り組みは、人手による点検を単純に置き換えるのではなく、広域データを活用して人が見るべき場所を絞り込み、限られた人員・予算で効率的に維持管理・災害対応を行えるよう支援するものです。共同研究では、課題保有者の現場知見や点検・台帳データと、弊社の画像解析、OCR/LLM/VLM、異常検知、時系列解析、ダッシュボード開発の技術を組み合わせ、PoCから事業化まで伴走したいと考えています。</t>
    <phoneticPr fontId="1"/>
  </si>
  <si>
    <t>【マッチング希望先】
弊社は、画像解析・OCR/LLM/VLM・時系列解析・異常検知・数理最適化・ダッシュボード開発を強みとする技術シーズ保有者として参加します。そのため、社会インフラ分野の現場課題や実データを保有し、衛星データ等を活用した実証・共同研究に取り組みたい自治体、インフラ管理者、建設コンサルタント、点検・保全事業者、防災・災害対応関連事業者、研究機関とのマッチングを希望します。
【必須要件】
・道路、橋梁、トンネル、河川管理施設、上下水道、港湾施設、法面・盛土、道路周辺環境、防災・災害対応等のいずれかについて、具体的な現場課題や業務ニーズを持っている方
・点検記録、台帳、補修履歴、現地写真、ドローン画像、センサデータ、過去の災害・異常履歴、現場担当者の知見など、AI解析の検証に利用可能なデータまたは実証フィールドを保有している方
・衛星データやAI解析を「研究のための研究」ではなく、実際の点検効率化、異常候補抽出、災害時の状況把握、現地確認の優先順位付けなど、現場業務に接続する意欲のある方
・PoCに向けて、課題定義、データ確認、評価指標の設計、結果レビューに継続的に協力いただける方
【希望要件】
・衛星データ、航空写真、ドローン画像、3D都市モデル、GISデータ、点検・台帳データなどを組み合わせた活用に関心がある方
・インフラ老朽化、維持管理人材不足、災害時の広域状況把握、予防保全、都市活動モニタリング等に課題意識を持っている方
・実証後に、自治体・インフラ管理者・建設コンサルタント・防災関連事業者向けの共同事業化、共同提案、継続研究につなげる意欲がある方
・AIの出力精度だけでなく、現場担当者が使えるダッシュボード、アラート、確認優先度リスト、レポート出力など、業務実装の形まで一緒に検討できる方
・必要に応じて、秘密保持契約等を締結したうえで実データを用いた検証に協力いただける方
【求めるコミットメント】
共同研究を進めるうえでは、初期段階で1〜2回程度の課題ヒアリング・データ確認を行い、その後は2週間に1回程度の打合せで、課題設定、データ前処理、AI解析結果、評価指標、実装方針について議論できればと考えています。弊社はAI・データ解析・システム開発を担当し、マッチング先には現場課題の共有、実データまたは実証フィールドの提供、解析結果に対する現場視点でのフィードバックをお願いしたいです。
【共同研究の方向性】
特に、広域データから「現地確認すべき候補」を抽出し、限られた人員で効率的に点検・維持管理・災害対応を行うための意思決定支援ツールを共同で検討したいです。社会インフラ分野の課題・データを持つ方と、弊社のAI解析・データ統合・ダッシュボード実装の技術を組み合わせることで、実用性と社会的インパクトのあるソリューションを共創したいと考えています。</t>
    <phoneticPr fontId="1"/>
  </si>
  <si>
    <t>弊社はAI・画像解析・データ統合技術を提供する技術シーズ保有者であり、社会インフラを直接保有・管理する立場ではありません。そのため、具体的な課題設定、対象インフラの選定、点検・補修・災害対応の業務フロー理解、評価指標の妥当性確認については、インフラ管理者、自治体、建設コンサルタント、点検・保全事業者等の現場知見を持つ方との連携が必要です。
また、AI解析の精度検証には、衛星データや公開データに加え、点検記録、台帳、補修履歴、現地写真、ドローン画像、センサデータ、過去の異常・災害履歴などの検証データが重要になります。データの有無、形式、品質、利用許諾、秘匿性によってPoCの範囲や評価方法が変わるため、初期段階で確認したいです。
衛星データは広域把握に有効である一方、解像度、観測頻度、天候、撮影時刻、遮蔽、対象物の規模などの制約があります。そのため、衛星データのみで最終判断するのではなく、現地画像、点検記録、GIS、3D都市モデル等と組み合わせ、まずは異常候補抽出や現地確認の優先順位付けを支援する形から共同研究を進めたいと考えています。</t>
    <phoneticPr fontId="1"/>
  </si>
  <si>
    <t>データサイエンスの会・衛星データ活用検討チーム</t>
    <phoneticPr fontId="1"/>
  </si>
  <si>
    <t>昨年度のNEDOコンペでは、農林水産分野において風倒木検知のPoCを企画し、光学衛星データ × AI（物体検知） を組み合わせたサービスを検討しました。この経験を通じて、衛星データの特性・限界・前処理の重要性を理解し、衛星データを実務に活かすためのIT側の要件整理に強みを持っています。
GISについても基礎的な利用経験があり、地理空間データの前処理・可視化・分析を自分たちで行えるスキルを有しています。
社内では有志でデータ分析の勉強会を継続しており、社内データ分析コンペティションで社長賞を受賞したメンバーも在籍しています。機械学習・統計解析・データ基盤構築に関する実務的な知見を持ち、衛星データを活用した分析パイプラインの構築にも対応可能です。
SARの高度解析（地形変化、環境変化、植生変化など）については、必要に応じて専門家と連携しつつ、自分たちで分析を進められる基礎体力を持っています。</t>
    <phoneticPr fontId="1"/>
  </si>
  <si>
    <t>物理的な社会インフラ（道路・橋梁・上下水道等）の維持管理に携わった経験はありません。一方で、長年にわたり 決済インフラ（止めてはならない社会インフラ） の開発・運用に関わってきた経験から、
・インフラ停止が社会に与える影響の大きさ
・平時からの健全度管理の重要性
・小さな異常が大きな障害につながるリスク
について深く理解しています。
決済インフラでは、障害は災害時だけでなく 平時にも突然発生し、その多くが「小さな兆候を見逃したこと」に起因します。この経験から、物理インフラにおいても 平時の健全度管理こそが、災害時の脆弱性を減らす最も重要な取り組みであると考えています。
物理インフラの専門家としての視点は持ち合わせていないため、現場の知見を持つパートナーと協業し、実務に耐える維持管理ソリューションを共同で構築したいと考えています。</t>
    <phoneticPr fontId="1"/>
  </si>
  <si>
    <t>私は東京在住で、関東圏の現場であれば数回程度の訪問が可能です。
メンバーはIT企業でデータサイエンスを学ぶ有志のメンバーから募ったもので、今回も個人としての参加となります。必要な作業は個人ベースで柔軟に対応可能ですので、ご承知おきください。</t>
    <phoneticPr fontId="1"/>
  </si>
  <si>
    <t xml:space="preserve">本コンテストの2テーマ双方に跨る研究として、特に下記のテーマでの共同研究を具体的に構想しています。
【本命テーマ：衛星画像差分解析による大規模盛土の変動レベル評価手法の開発】（テーマ1・テーマ2に横断的に該当）
■背景・社会的意義
・2021年熱海土石流災害を契機に盛土規制法が施行され、全国の自治体で大規模盛土の継続監視が喫緊の課題となっている
・規制法運用上の指針では「盛土後15年間変動がなければ後続調査不要」とされるが、実務では「変動の有無」を定量的・経時的に把握する手法が確立されておらず、航空写真の目視比較に依存しているのが実情
・盛土規制法マニュアル作成委員会の有識者からも、衛星画像による変動量評価手法の必要性が指摘されている
■当社が提供できるアセット
・過年度業務で蓄積した、地形・規模・地質条件の異なる複数の大規模盛土の現地データ（地形測量、地質調査、変状履歴等）
・盛土規制法の運用先進地域である西日本自治体との連携ネットワーク（発注者との調整によりデータ提供・実証フィールド設定が可能）
・盛土の力学的挙動・安定解析に関する設計実務知見
・UAV・地上レーザによる高精度3D計測（衛星解析結果の地上検証用Ground Truth）
■求めるシーズ
・SAR干渉解析による広域・経時的な地表変位抽出技術
・衛星データを活用した土壌水分推定技術（当社の現地確認結果との検証含む）
・光学衛星画像の差分解析、AIによる微小変化検出技術
・複数衛星データの時系列クラウド処理基盤
■期待される社会的インパクト
・「変動なし」を定量的・科学的に証明する手法の確立による、後続調査要否判断の合理化（地方公共団体・事業者の負担軽減）
・潜在変動盛土の早期発見による、第2の熱海災害の未然防止
・盛土規制法運用の全国標準化への寄与
【サブテーマ】
上記本命テーマの他、橋梁・道路（道路盛土含む）・港湾構造物の予防保全に向けた優先順位付けのための広域変位モニタリング、災害時の被災状況早期把握、3D都市モデルへの衛星データ統合等についても、当社の現場知見・実証フィールドを活かした共同研究が可能です。シーズ側のご関心に応じ柔軟に協議いたします。
</t>
    <phoneticPr fontId="1"/>
  </si>
  <si>
    <t>-</t>
    <phoneticPr fontId="1"/>
  </si>
  <si>
    <t>Kohei Fujita</t>
    <phoneticPr fontId="1"/>
  </si>
  <si>
    <t>技術シーズ保有者を探している
課題・ニーズ保有者を探している</t>
    <rPh sb="15" eb="17">
      <t>カダイ</t>
    </rPh>
    <rPh sb="21" eb="24">
      <t>ホユウシャ</t>
    </rPh>
    <rPh sb="25" eb="26">
      <t>サガ</t>
    </rPh>
    <phoneticPr fontId="1"/>
  </si>
  <si>
    <t>データ利活用に関しては研究、業務経験などはございませんが
過去オープンデータを用いた可視化に関して以下の経験がございます。
・2023 年 3 月実施のオープンガバメント推進協議会 オープンデータ可視化チャレンジコンテスト
　　チームメンバとして参加、最優秀賞を受賞
　　(提出タイトル「奈良市ワーケーション活用マップ」使用ツール　Power BI)
・Opendata Battle2024/2025への参加
「姫路城だけじゃない！播磨エリア」
　　「明石ー「たこ」の町の楽しみ方」
今回、衛星の夜間光データを利用した光インフラの設計や、社会インフラの変化の感知をアイデアとして用意していますが、
このアイデアに対し、実際の地域課題の解決につなぐためのブラッシュアップなどを行える方と協業したいと考えています。</t>
    <phoneticPr fontId="1"/>
  </si>
  <si>
    <t>社会インフラに関しては研究、業務経験などはございませんが
過去オープンデータを用いた可視化に関して以下の経験がございます。
・2023 年 3 月実施のオープンガバメント推進協議会 オープンデータ可視化チャレンジコンテスト
　　チームメンバとして参加、最優秀賞を受賞
　　(提出タイトル「奈良市ワーケーション活用マップ」使用ツール　Power BI)
・Opendata Battle2024/2025への参加
「姫路城だけじゃない！播磨エリア」
　　「明石ー「たこ」の町の楽しみ方」
今回、衛星の夜間光データを利用した光インフラの設計や、社会インフラの変化の感知をアイデアとして用意していますが、
このアイデアに対し、夜間光データから実際の照明などの設計へつなげるモデリングなどを検討できるスキルをお持ちの方と
協業したいと考えています。</t>
    <phoneticPr fontId="1"/>
  </si>
  <si>
    <t>オープンデータの活用などで地域の持つポテンシャルやただ見えていない、知っていないだけで
うまくポテンシャルを使えていない事例を上手くサポートできればと思っています。
また複数の背景を持つ方との話し合いやアイデアの昇華が重要とかんがえており、
ディスカッションの中から共同でアイデアを育てていければと思っております。</t>
    <phoneticPr fontId="1"/>
  </si>
  <si>
    <t>衛星データ特に夜間光データの長期追跡結果を利用して
①社会インフラ
　　光量の変化や自動車のライトの流れの変化などからインフラの変更を掴み、
　　実地調査やドローンなどでの詳細なインフラ調査を行う対象を絞りこみ
　　PLATEAU編集の効率を上げる。
②交通インフラへの活用
　　光量や発光源の減少などから地域のリアルな住居状況を掴み、
　　オンデマンドバスなどの停留所候補などの設定
　　バス路線の頻度、最終バス等の対応へつなげる。
③光インフラへの活用
　　地域の各エリアでの適切な光量や光の色（色温度）など適切な状態にあるかどうかをチェック
　　地域の屋外照明や漏れ光などの設計、指導につなげ、地域の雰囲気設計などで防犯、光害防止
　　へつなげる</t>
    <phoneticPr fontId="1"/>
  </si>
  <si>
    <t>【マッチング希望先】
・現状の当方のアイデアに対して、結びつけることで解決する交通インフラや都市計画などの課題をお持ちな自治体や事業者の方
・夜間光という不安定と思われる情報と地域レベルの範囲で適切なデータ化が出来るスキルをお持ちの方
【求めるコミットメント】
・研究を進めるうえで、試行、PoCなどを早期に行い、アイデアの将来性を早めに掴み
　またインフラへの影響などをしっかり現地でお話出来ればと思っています</t>
    <phoneticPr fontId="1"/>
  </si>
  <si>
    <t>現在、兵庫県に在住していますので出来れば対面で相談、連携できる私のアイデアを広げるニーズをお持ちの方やソリューションをお持ちの方がいらっしゃればありがたいです。
私自身はこちらのアイデアは個人としてのものであり、他の個人の方や企業の方など自由に連携できると考えております。</t>
    <phoneticPr fontId="1"/>
  </si>
  <si>
    <t>岩永二郎</t>
    <phoneticPr fontId="1"/>
  </si>
  <si>
    <t>データサイエンス・数理科学全般において、数理最適化、推薦システム、機械学習、自然言語処理等の専門技術を用いた技術コンサルティング、研究開発、システム開発に18年ほど携わっています。課題に対して広い専門領域を活かした技術選定、および保守運用まで考慮したシンプルなロジックの設計と実装を得意としています。
数理最適化、推薦システム、機械学習、自然言語処理についての専門技術は国内トップクラスの技術を提供できます。一方、衛星データや地理データは専門家レベルで扱っているわけではありません。現在、衛星データについて既存の事業と技術について半年ほどキャッチアップしており、プロジェクト開始頃には一通り必要な基礎知識と技術はキャッチアップしている見込みですが、プロジェクトで走りながら技術力を伸ばしていく想定です。
===技術シーズに関する代表的な実績===
【書籍】
岩永二郎, 石原響太, 西村直樹, 田中一樹, Pythonではじめる数理最適化 ケーススタディでモデリングのスキルを身につけよう, オーム社, 2021
https://www.amazon.co.jp/dp/4274227359/
【論文（抜粋）】
・Jiro Iwanaga, Naoki Nishimura, Noriyoshi Sukegawa, Yuichi Takano, Improving collaborative filtering recommendations by estimating user preferences from clickstream data, Electronic Commerce Research and Applications, Vol.37, 100877 (2019)
・Jiro Iwanaga, Naoki Nishimura, Noriyoshi Sukegawa, Yuichi Takano, Estimating product-choice probabilities from recency and frequency of page views, Knowledge-Based Systems, Vol.99, pp.157-167 (2016)
【非常勤講師】
・上智大学理工学部情報理工学科授業「社会情報学」非常勤講師（2018〜現在）
・筑波大学理工学群社会工学類授業「数理工学モデル化演習」非常勤講師（2020〜現在）
【OSS活動】RFscorerの開発
https://github.com/jiro-iwanaga/rfscorer/tree/main</t>
    <phoneticPr fontId="1"/>
  </si>
  <si>
    <t>土木や社会インフラの現場業務を専門とする実務家ではありませんが、土木・社会インフラ分野に数理最適化やデータサイエンスを適用したプロジェクト経験があります。昔在籍していた企業（株式会社NTTデータ数理システム）で公開情報があります。道路、橋梁、トンネル、公園施設等の土木構造物を対象として、各施設の補修・更新時期を決定し、長期的な修繕費用を平準化する「土木構造物保守計画支援システム」の実装経験があります。また、この成果について、日本オペレーションズ・リサーチ学会で共同発表を行っています。
【関連資料】
https://www.msi.co.jp/solution/nuopt/download/introduction/module/doboku.pdf
https://cir.nii.ac.jp/crid/1571698602515096064?lang=ja
また、防災分野では、筑波大学の授業「異分野融合型データサイエンティスト育成プログラム」で水害発生時の避難に関する取り組みについて非常勤講師としてプロジェクトの指導をした経験があります。
その他、エネルギーソリューション（タンクオペレーションや発電計画）、緊急車両配置、出展計画問題、人流データ解析などの知見と経験が少々あります。</t>
    <phoneticPr fontId="1"/>
  </si>
  <si>
    <t>数理科学・データサイエンス分野のオールラウンダーとしての専門性、研究活動、教育活動、事業開発経験を提供できることが強みです。詳しくは経歴をご覧ください。
【経歴】
https://erdos-the-book.com/index.php/iwanaga-jiro/
本コンテストで弊社から提供できる価値は主に３点と考えています。
・数理科学全般の専門性と社会実装経験
・データ活用経験とデータビジネス事業開発経験
・コンテストで安定して実績を出す経験
【データ活用経験とデータビジネス事業開発経験】
・18年間一貫してデータ業界に携わっており、様々なデータの活用経験が豊富です（数百件レベル）
・複数のデータビジネス事業開発PoC経験に加え、２度のローンチの経験があります。
【コンテストで安定して実績を出す経験（抜粋）】
コンテストで6度の受賞経験があります。賞金コンテストを勝ち抜くアイデア、技術力、胆力には自信があります。
・2023年 大和ハウス工業 スマートロジスティクス オープンデータチャレンジ 最優秀賞受賞（賞金200万円）
https://daiwa-open-challenge.jp/award.html
・2014年 株式会社スタートトゥディ（現、株式会社ZOZO）主催 レコメンドコンテスト 優秀賞（賞金100万円）
（ただし、今回の参加は、事業として成立することを重視しております）</t>
    <phoneticPr fontId="1"/>
  </si>
  <si>
    <t>・分野にこだわらず、数理科学×生成AIをテーマに新規性のある仕組みを設計、社会実装したいと考えています。
・論文化も検討可能です。</t>
    <phoneticPr fontId="1"/>
  </si>
  <si>
    <t>課題の領域にこだわりはありませんが、社会的インパクト、独自性、事業化の可能性があるテーマであるとワクワクできます。
【必須要件】
（１）解決したい具体的な現場課題を持っている方・まだ社会実装されていない新しい価値を見つけている方
（２）独自性・希少性のあるデータまたは実証フィールドを持っている方
（３）相互に強みと利益を尊重してプロジェクトを進められる方
【希望要件】
・コンテストを起点として長くwin-winの関係を続けられる方（一緒に事業開発していけるならなおよいです）</t>
    <phoneticPr fontId="1"/>
  </si>
  <si>
    <t>ー</t>
    <phoneticPr fontId="1"/>
  </si>
  <si>
    <t>技術シーズ保有者を探している</t>
    <rPh sb="0" eb="2">
      <t>ギジュツ</t>
    </rPh>
    <rPh sb="5" eb="8">
      <t>ホユウシャ</t>
    </rPh>
    <rPh sb="9" eb="10">
      <t>サガ</t>
    </rPh>
    <phoneticPr fontId="1"/>
  </si>
  <si>
    <t>ゲーミフィケーションにより市民から現地写真データを大規模収集するプラットフォーム「ピクトレ」を開発・運営しています。電柱等インフラ設備の位置情報付き画像を全国で収集し、品質管理・重複排除・AI判定を経てインフラ事業者の点検業務に提供しています。衛星データ解析の実務経験はありませんが、地上側の画像データ収集・処理・品質管理については大規模運用の知見を有しています。</t>
    <phoneticPr fontId="1"/>
  </si>
  <si>
    <t>電力・通信インフラ事業者から電柱等の点検撮影業務を受託し、全国で運用中です（登録ユーザー約15万人）。一部エリアでは対象設備の9割超を市民撮影でカバーした実績があります。2026年8月〜11月には防災をテーマとした全国大会「ピクトレ防災チャンピオンシップ2026」を47都道府県で同時開催予定です。インフラ点検における人手不足・現地確認コスト・広域把握の困難さという現場課題を、事業として日々扱っています</t>
    <phoneticPr fontId="1"/>
  </si>
  <si>
    <t>衛星観測には「現地検証（グラウンドトゥルース）」のレイヤーが構造的に欠けていると認識しています。当社は全国に分布する市民ユーザーに対し「この地点のこの設備を撮影してほしい」というミッションを即日配信し、低コスト・高頻度で位置情報付き現地写真を取得できます。共同研究の相手方には、①全国規模の現地検証ネットワーク、②2026年8〜11月に実際に稼働する全国大会という実証フィールド、③インフラ事業者・自治体向けの社会実装チャネル、を提供できます。</t>
    <phoneticPr fontId="1"/>
  </si>
  <si>
    <t>衛星データ（InSAR・光学等）の広域スクリーニングで異常・変状の疑い箇所を検出し、当該地点をピクトレのミッションとして市民に自動配信、現地写真で検証する——という「衛星×地上」のクローズドループ構築に取り組みたいと考えています。特にテーマ2の「発災直後の電柱倒壊・道路閉塞等の迅速な把握」において、衛星の広域性・即時性と地上写真の確実性を組み合わせることで、初動対応の高度化という大きな社会的インパクトが期待できます。平時にはインフラ点検の優先順位付けや、3D都市モデル更新の検証・教師データ提供（テーマ1）にも応用可能です。</t>
    <phoneticPr fontId="1"/>
  </si>
  <si>
    <t>【必須要件】InSAR解析、衛星画像の変化検知・異常検知等の解析技術シーズを保有する事業者・研究機関の方。
【希望要件】防災・インフラ監視分野でのソリューション開発経験があり、本コンテスト（8/31締切）への共同応募を視野に入れられる方。
【求めるコミットメント】隔週1回程度のオンライン打合せを想定しています。</t>
    <phoneticPr fontId="1"/>
  </si>
  <si>
    <t>共同研究の検討にあたっては秘密保持契約の締結をお願いする場合があります。打合せはオンライン中心を想定しています。</t>
    <phoneticPr fontId="1"/>
  </si>
  <si>
    <t>鳥居佑輝</t>
    <phoneticPr fontId="1"/>
  </si>
  <si>
    <t>衛星SARデータ（Sentinel-1、ALOS-2等）の時系列干渉解析（InSAR）により、道路・橋梁・上下水道埋設エリア・公共建築物等の地盤変位および構造物変位を広域的かつ面的に把握する技術と、その解析結果を3D都市モデル（PLATEAU）上で施設・構造物単位に紐付けて可視化する基盤を開発している。
さらに、施設台帳・点検記録・人口推計と統合し、個別施設・路線ごとに「維持継続」「集約・複合化」「転換」の各シナリオについて30年ライフサイクルコストと安全性リスクを定量比較できるシナリオエンジン、およびその結果を住民説明会・議会説明の場で専門知識なしに閲覧できる合意形成インターフェースを構想している。
運営会社は大規模データのETLパイプライン構築からクラウド配信基盤（Cloudflare Workers等）によるWebプロダクト化・継続運用までを一気通貫で実装した実績を有し、単発の解析ではなく「定期自動更新されるサービス」としての社会実装を前提とした開発体制を持つ。</t>
    <phoneticPr fontId="1"/>
  </si>
  <si>
    <t>土木・インフラ維持管理の現場実務経験はありません。一方で、公共施設等総合管理計画・個別施設計画・立地適正化計画といった制度枠組みと、自治体がその運用において直面する意思決定・住民合意形成の課題については、事業構想の前提として調査・分析を重ねてきました。ベンチャー投資・事業開発の経歴を通じて、行政・金融当局との折衝や規制対応（第一種少額電子募集取扱業の登録・運営等）の実務経験を有しており、公共性の高い領域で制度と整合したサービスを設計・運営する知見があります。だからこそ、現場の点検実務や台帳データの実態を熟知したパートナーとの連携が不可欠と考え、本プログラムに応募しました。</t>
    <phoneticPr fontId="1"/>
  </si>
  <si>
    <t>データパイプライン構築（複数の外部データソースからのETL・4万件超のアーカイブデータベース構築）、クラウド配信基盤（Cloudflare Workers等）でのWebサービス開発・運用を、企画から実装・継続運用まで少人数で一気通貫に行ってきた事業者です。スタートアップ投資・事業立ち上げの経験（VC運営、株式投資型クラウドファンディング事業の創業・licensed事業者としての運営、複数の事業会社の立ち上げ）から、実証で終わらせず事業として自走させる設計を最初から組み込むことを重視しています。
共同研究相手に提供できるもの：①解析結果を「毎回手作業の解析」ではなく「定期自動更新されるサービス」に落とし込む実装力、②事業化・資金調達・体制構築の実務知見、③開発した可視化基盤・ダッシュボードそのものを、パートナー自治体・事業者が業務資料として実利用できる形で還元すること。
異分野からの参入であることを自覚しており、現場の知見をお持ちの方とオープンに議論しながら、実用性を最優先にソリューションを磨きたいと考えています。</t>
    <phoneticPr fontId="1"/>
  </si>
  <si>
    <t>衛星SARデータ（InSAR時系列解析）による広域のインフラ・地盤変位モニタリングと、3D都市モデル（PLATEAU）・施設台帳・人口推計を統合したシナリオ比較基盤を共同で構築したいと考えています。
具体的には、個別の施設・路線ごとに「維持継続」「集約・複合化」「転換」の各シナリオの長期ライフサイクルコストと安全性リスクを定量比較し、その結果を住民説明会や議会の場で専門知識なしに閲覧できる形で可視化します。システムが推奨案を出すのではなく、選択肢を等価に提示し、判断材料を透明化することで、住民と行政が同じデータを見て話し合える環境をつくることを設計思想とします。
全国の自治体が公共施設等総合管理計画のもとで施設の集約・複合化・廃止の検討を求められる一方、判断根拠となる客観データと合意形成の手段を欠いているのが現状です。ここにデータの裏付けを与えることは、予防保全による重大事故の未然防止、行政コストの適正化、そして人口減少時代の困難な意思決定の正統性確保という大きな社会的インパクトにつながると考えています。</t>
    <phoneticPr fontId="1"/>
  </si>
  <si>
    <t>【必須に近い希望】
公共施設等総合管理計画・個別施設計画の改定、施設再編、または立地適正化計画の運用を控え、データに基づく検討・住民説明に課題認識をお持ちの自治体（公共施設マネジメント・企画・財政・都市計画部局）
施設台帳、点検記録、補修・被災履歴等の実データと実証フィールドをご提供いただける自治体・インフラ管理者
【希望要件】
InSAR時系列解析（PSInSAR/SBAS等）に学術的知見をお持ちの大学研究室・研究者の方
PLATEAU/CityGMLの活用実績をお持ちの技術者・企業
【求めるコミットメント】
2週間に1回・1〜2時間程度のオンライン打合せを基本とし、必要に応じて現地訪問・対面での協議を行える体制を希望します。</t>
    <phoneticPr fontId="1"/>
  </si>
  <si>
    <t>東京都を拠点としており、打合せはオンラインを基本としつつ、首都圏であれば対面での連携も柔軟に対応可能です（首都圏以外の自治体・パートナーの方も歓迎します。現地訪問も必要に応じて行います）。自治体保有データ（台帳・点検記録等）の取り扱いにあたっては、秘密保持契約の締結、データの目的外利用の禁止、成果公表時の事前確認など、行政実務に即したデータガバナンス体制を整えたうえで進めることを想定しています。また、当方は社会インフラ分野の現場実務については学習途上であるため、初期段階では現場課題のインプットにお時間をいただく場面があることをご承知おきください。</t>
    <phoneticPr fontId="1"/>
  </si>
  <si>
    <t>本田技研工業</t>
    <phoneticPr fontId="1"/>
  </si>
  <si>
    <t>・本田技研工業の一般車から取得したコネクテッドデータを販売し、社会課題を解決するために役立てていただくHondaDriveDataServiceというサービスを提供しております。
・車両からは位置情報データや車速等はもちろんのこと、ワイパーやハザードデータ、各車輪の速度や縦G横G等の詳細な車載センサー情報も取得・提供しています。（画像データは販売していません）
・これらを活用して、一般車のデータから路面の凹凸情報を読み取ってポットホールを検知するプロダクトの提供や、ワイパーや車速情報から気象センサーの配置が十分でない途上国での降水量検知の実証等を行ってきました。
・衛星データとこれらの情報を組み合わせることで精度向上や、新価値創出ができるのではないかとかねてから考えていましたが、衛星データの活用経験が薄く自社単独では検討が進み切らないため今回応募しています。</t>
    <phoneticPr fontId="1"/>
  </si>
  <si>
    <t>ー</t>
    <phoneticPr fontId="1"/>
  </si>
  <si>
    <t>かっちりと決まった要件でなくとも、気軽にこういうデータの組み合わせができないか？等のディスカッションが出来ればと考えているため、ご興味あればぜひ気軽に声をかけていただきたいです。</t>
    <phoneticPr fontId="1"/>
  </si>
  <si>
    <t>車両から取得できる主に道路のデータや交通流データと、衛星データを組み合わせて自治体やインフラ管理者の課題を解決する施策が検討できればと考えています。</t>
    <phoneticPr fontId="1"/>
  </si>
  <si>
    <t>【マッチング希望先】
衛星データ×インフラ整備のプロダクトや研究知見をお持ちで、衛星データだけでの精度に限界を感じている方等</t>
    <phoneticPr fontId="1"/>
  </si>
  <si>
    <t>研究実施に向けては弊社で進める車両情報を提供する必要があるため、秘密保持契約とデータ提供契約の締結の必要があるため、ご承知おきください。</t>
    <phoneticPr fontId="1"/>
  </si>
  <si>
    <t>一般財団法人日本気象協会</t>
    <phoneticPr fontId="1"/>
  </si>
  <si>
    <t>気象観測データ、数値予報データ、衛星データ、環境調査データなどを活用し、気象・防災・環境・エネルギー分野における観測、解析、予測、評価を行っています。なかでも、現地の条件や目的に応じた気象観測・環境調査の計画・実施と、得られた観測データ等を用いた解析や数値シミュレーション等に強みを有しています。
本格的な衛星データ活用の経験は限定的ですが、GOSAT（温室効果ガス観測技術衛星）データの検証支援や、気象衛星ひまわり8・9号の衛星画像を用いた日射量の推定技術の開発およびサービス運用実績があります。
これまでの気象・防災・環境・エネルギー分野で培った知見や技術を活用し、気象データに基づく解析・評価を行うことで、社会インフラの状態把握やリスク評価など、新たな価値創出につながる技術開発を目指しています。</t>
    <phoneticPr fontId="1"/>
  </si>
  <si>
    <t>気象コンサルティングサービスを通じて、道路・交通、ダム、発電所などの社会インフラを対象に、運用・維持管理、防災、事業継続に資する気象情報の提供やリスク評価に取り組んできました。
特に、インフラの安全性や稼働率、保守計画に対して、観測データや数値予報を活用した評価、監視、意思決定支援を行ってきた経験があります。これらの業務を通じて、社会インフラ分野における現場課題、必要とされる気象情報の粒度・頻度、運用上の制約に関する知見を蓄積しています。
今後は、衛星データが有する広域性、継続性、均質性を生かし、地上観測や気象予測データと組み合わせることで、インフラの状態把握、災害リスクの早期検知、点検・維持管理の高度化につながる新たな取り組みを共に実行できるパートナーを探しています。</t>
    <phoneticPr fontId="1"/>
  </si>
  <si>
    <t>現地観測データや気象データの解析・解釈、環境分野での評価・予測に関する知見については、本分野においても十分に生かせると考えています。
また、気象観測や環境調査の経験が豊富で、現地でのグラウンドトゥルースデータの取得が可能です。衛星データやAI・画像解析技術と組み合わせることで、解析結果の検証やアルゴリズムの高精度化、社会実装に向けた実証を支援できると考えています。
異なる専門分野の方と積極的に連携し、それぞれの強みを融合することで、新たな価値の創出や社会実装・事業化につながる取り組みを進めたいです。気象データは衛星データ単独では把握しにくい環境条件や変化要因を補完できるため、両者を組み合わせることで、より実用性の高いインフラ管理技術の実現に貢献したいと考えています。</t>
    <phoneticPr fontId="1"/>
  </si>
  <si>
    <t>ニーズ保有者と取り組みたいこと
衛星データと気象データを組み合わせることで、インフラそのものの状態だけでなく、降雨・気温・風などの周辺環境を踏まえたリスクや異常兆候を広域的に把握し、点検の効率化や予防保全につながる技術・サービスの実現を目指しています。
シーズ保有者と取り組みたいこと
気象データとの融合による新たな解析手法やサービスの開発に取り組みたいと考えています。例えば、衛星データや3D都市モデルに気象データを組み合わせることで、点検の効率化や予防保全に資する技術の共同研究・実証を進め、社会実装・事業化を目指したいと考えています。</t>
    <phoneticPr fontId="1"/>
  </si>
  <si>
    <t>希望するニーズ保有者マッチング先
インフラ点検・維持管理、防災・災害対応等の分野で現場課題を有する事業者・自治体とのマッチングを希望しています。
希望するシーズ保有者マッチング先
SAR・光学衛星データ解析、AI・画像認識、変化検出等の技術を有する企業や研究機関とのマッチングを希望しています。
また、気象データとの組み合わせにより新たな価値創出が期待できる分野であれば、上記に限らず幅広い分野との連携も積極的に検討したいと考えています。</t>
    <phoneticPr fontId="1"/>
  </si>
  <si>
    <t>必要に応じて秘密保持契約（NDA）の締結をお願いする場合があります。</t>
    <phoneticPr fontId="1"/>
  </si>
  <si>
    <t>山田耕三
(株式会社Digital Entertainment Asset)</t>
    <phoneticPr fontId="1"/>
  </si>
  <si>
    <t>大成</t>
    <rPh sb="0" eb="2">
      <t>タイセイ</t>
    </rPh>
    <phoneticPr fontId="1"/>
  </si>
  <si>
    <t>衛星データ活用に関する経験はほとんどありません、今回のこの公募をきっかけに建築土木に関する知識に衛星データ活用技術を結び付けて、新しい技術の発掘につなげたいと考えています。</t>
    <phoneticPr fontId="1"/>
  </si>
  <si>
    <t>震災時の建物状況を瞬時に判定する、建物の構造ヘルスモニタリングを専門に研究してまいりました。</t>
    <phoneticPr fontId="1"/>
  </si>
  <si>
    <t>私のいる部署は研究所であり、私自身の専門知識以外にも、土木建築に係る多様な知識を持った部署と連携をすることが可能です。建物やインフラ構造部の災害後の状況を迅速に把握できる社会貢献が望みです。</t>
    <phoneticPr fontId="1"/>
  </si>
  <si>
    <t>マッチングした成果によっては。協議次第で検討もあり。</t>
    <phoneticPr fontId="1"/>
  </si>
  <si>
    <t xml:space="preserve">衛星で記録したデータについて分析に長けている方。建設会社と共同で開発を行いたいと考えている方
</t>
    <phoneticPr fontId="1"/>
  </si>
  <si>
    <t>拠点は横浜になります。秘密保持契約の締結の必要はあります。顧客の観測データの提供は、一切できません。設置場所も特定することはできません。</t>
    <phoneticPr fontId="1"/>
  </si>
  <si>
    <t>テーマ２：インフラに係る防災・災害対応における課題解決に資する技術開発</t>
    <phoneticPr fontId="1"/>
  </si>
  <si>
    <t>テーマ１：インフラマネジメント及び都市活動における課題解決に資する技術開発</t>
    <phoneticPr fontId="1"/>
  </si>
  <si>
    <t>テーマ１：インフラマネジメント及び都市活動における課題解決に資する技術開発</t>
    <rPh sb="15" eb="16">
      <t>オヨ</t>
    </rPh>
    <rPh sb="17" eb="19">
      <t>トシ</t>
    </rPh>
    <rPh sb="19" eb="21">
      <t>カツドウ</t>
    </rPh>
    <rPh sb="25" eb="27">
      <t>カダイ</t>
    </rPh>
    <rPh sb="27" eb="29">
      <t>カイケツ</t>
    </rPh>
    <rPh sb="30" eb="31">
      <t>シ</t>
    </rPh>
    <rPh sb="33" eb="35">
      <t>ギジュツ</t>
    </rPh>
    <rPh sb="35" eb="37">
      <t>カイハツ</t>
    </rPh>
    <phoneticPr fontId="1"/>
  </si>
  <si>
    <t>テーマ１：インフラマネジメント及び都市活動における課題解決に資する技術開発
テーマ２：インフラに係る防災・災害対応における課題解決に資する技術開発</t>
  </si>
  <si>
    <t>テーマ１：インフラマネジメント及び都市活動における課題解決に資する技術開発
テーマ２：インフラに係る防災・災害対応における課題解決に資する技術開発</t>
    <phoneticPr fontId="1"/>
  </si>
  <si>
    <t>Henry Cui
（株式会社DexAI）</t>
    <rPh sb="11" eb="15">
      <t>カブシキガイシャ</t>
    </rPh>
    <phoneticPr fontId="1"/>
  </si>
  <si>
    <t>私たちは、金融機関の決済システムを長年維持管理してきたメンバーが有志で集まったチームであり、
メンバー個人も、
・気象予報士（気象・環境データの理解）
・技術士（情報工学）
・社会人大学でデータ分析を学んだメンバー（統計・機械学習）
といった多様な専門性を持っています。決済インフラの運用では、平時の小さな兆候が大きな障害につながることを身をもって経験しており、「平時の健全度管理こそがリスク低減の本質である」という考え方がメンバー内に根付いています。この経験を活かし、衛星データ × 気象・環境データ × インフラ維持管理を統合した分析に強みを生かせると考えています。
また、業務では生成AIの活用にも積極的に取り組んでおり、レポート作成、壁打ち、プロトタイプ開発などに生成AIを活用することで、高速なPDCAサイクルを回す開発スタイルを実現しています。プロジェクトマネジメント経験も豊富で、短期間でのプロトタイプ開発や、複数組織との協働プロジェクトの推進が可能です。
さらに、生成AIの活用にとどまらず、エージェンティックAI（自律型AI）のサービス企画にも携わっており、AIによる情報収集の自動化や、担当部署への自動通知、点検予定への自動組み込みなど、“業務フローに組み込む”ための仕組みづくりを実務レベルで検討することが可能です。</t>
    <phoneticPr fontId="1"/>
  </si>
  <si>
    <t>平時のインフラ健全度監視と、点検・補修の優先順位付け、点検業務を支援するインフラマネジメントDX基盤を共同で検討したい。
＜対象とするリスク＞
・酷暑による人的被害
・寒暖差による道路・レールの変状
・地盤変位（橋梁・道路・法面・埋立地）
・陥没リスク
・植生の接近（鉄道・送電線）など、構造物周辺の環境変化
・電柱の傾き
＜ソリューション案＞
〇基盤レイヤー（衛星 × GIS）：
高精細光学衛星・SAR衛星・熱赤外・GISを組み合わせて、
インフラの健全度を広域・時系列で把握する。
〇 エージェンティックAIレイヤー
担当部署の自動判定
点検予定への自動組み込み
優先順位付けの自動化
インフラ管理台帳更新の自動化
情報収集の自動化
→ 衛星データを“業務フローに組み込む”仕組みを構築</t>
    <phoneticPr fontId="1"/>
  </si>
  <si>
    <t>（② シーズ側（衛星・地上データのプロバイダー）のマッチング先を追加しています。2026/7/24）
【マッチングの考え方と役割分担】
今回のマッチングフェーズでは、ニーズ側またはシーズ側のいずれかと協働し、課題とデータをつなぎ、要件整理とデータ連携を支援する立場として参加したいと考えています。
①ニーズ側（課題・実務データの提供者） 　または、
②シーズ側（衛星・地上データのプロバイダー）
【① ニーズ側（課題・実務データの提供者） 】
ニーズ側（自治体、道路管理者、電力会社、都市インフラの点検・診断企業、防災・インフラ研究機関）と協働したいと考えています。私たちは技術シーズ側としての役割を担い、衛星データの基礎解析や、衛星 × 地上データ × AI を統合した評価ロジックの設計 を進めます。
衛星データ単体ではなく、オープンデータや、ニーズ側が独自に保有する各種データ（管理台帳、点検記録、地盤情報、IoTセンサデータ等）を組み合わせることで、より実務に耐える評価・判断モデルを構築したいと考えています。
そのため、マッチング先としては、膨大なインフラの維持管理に課題感を持ち、当方が検証したい仮説に必要なデータ（管理台帳・点検記録・地盤情報・IoTデータ等）を提供いただける方 を希望します。
私たちは、ニーズ側の課題に寄り添いながら、技術シーズ側としての分析基盤構築・AI活用・業務フロー統合を担い、共同で事業化に向けたプロトタイプ開発を推進したいと考えています。
【② シーズ側（衛星・地上データのプロバイダー）】
衛星データや地上データなどを保有し、データはあるが活用方法に課題を感じている企業 との協働も検討しています。応募段階では自治体等のオープンデータを用いてソリューション案を検討し、一次選考突破後に、NEDO事務局の支援を受けながらニーズ側を探索し、その要件に基づいてプロバイダーと共同でソリューションを具体化する流れを想定しています。
【コミットメント】
会議は週1回程度のオンライン（Zoom）を基本とし、そこでタスクを明確にして各メンバーで持ち帰り作業する進め方を想定しています。日常的なコミュニケーションはSlack等を利用します。</t>
    <phoneticPr fontId="1"/>
  </si>
  <si>
    <t>株式会社JTOWER 鉄塔保全高度化プロジェクト</t>
    <phoneticPr fontId="1"/>
  </si>
  <si>
    <t>当社は通信インフラシェアリング事業者として、全国7,000本超の通信鉄塔および841件以上の屋内通信インフラを保有・運用しております。インフラの維持管理・モニタリングに係るデータは豊富に蓄積していますが、衛星データやリモートセンシングを活用し、これら無数に点在する独立アセット群の経年変化を一元的に解析・自動判定するAI技術については未着手の領域です。本プログラムを通じて、広域に点在する離散オブジェクトの微小変位検知や周辺環境の自動モニタリング技術を持つ技術シーズ保有者と連携したいと考えております。</t>
    <phoneticPr fontId="1"/>
  </si>
  <si>
    <t>　当社は2012年の創業以来、国内通信キャリアの通信設備（屋内・屋外）のインフラシェアリングを主軸事業として展開し、全国約7,000本超の通信鉄塔を運用・保守しております。
　これらの鉄塔は、それぞれが独立した『点（離散アセット）』として全国の山間部や郊外などのへき地に文字通り点在しています。そのため、線形インフラのように経路に沿って効率的に巡視することができず、無数に点在する一本一本の鉄塔へ個別に作業員が目視点検に向かう必要があり、移動を含めたコストと人的リソースの消費が深刻な課題となっています。特に、①鉄塔敷地への周辺樹木の侵入・異常繁茂によるリスク把握、②斜面や高台に孤立して建つ鉄塔足元のミリ単位の微小な地盤沈下・傾斜の兆候把握、を現地に行かずに面的・定期的に一括スクリーニングする手法を強く求めています。</t>
    <phoneticPr fontId="1"/>
  </si>
  <si>
    <t>当社は、「日本から、世界最先端のインフラシェアリングを。」というビジョンのもと、通信インフラの提供を行う専業事業者です。コンテストの【テーマ1：インフラマネジメント・都市活動】への応募を視野に入れています。全国に点在する約7,000本超の独立した『通信鉄塔アセット』という、衛星データによるピンポイントかつ広域な監視アルゴリズムの検証に最適な実フィールドを提供できる唯一無二のパートナーです。
連携パートナーに対しては、以下のメリットを提供可能です。
・全国7,000本超の多種多様な環境に『孤立・点在』する通信鉄塔の実フィールド提供（個別地点のピンポイント解析や、広域からの複数ターゲット一括抽出の実証に最適）
・点在インフラ向け定期モニタリングサービスとしての共同事業化・商用展開の検討</t>
    <phoneticPr fontId="1"/>
  </si>
  <si>
    <t>【取り組みアイデア：衛星リモートセンシングを活用した全国点在型・独立通信鉄塔群の一括予防保全モニタリングシステムの構築】
　時系列の干渉SAR（InSAR）解析技術や高精度光学衛星データを活用し、全国に無数に点在する鉄塔を対象に、現地へ赴くことなく、各地点の「構造物および足元敷地のミリ単位の微小変位（傾き・地盤沈下の予兆）」や「鉄塔敷地周辺の樹木繁茂によるリスク」を定期的に自動で一括スクリーニングするシステムの共同開発を目指します。
　線で繋がっていないため見回りの効率化が極めて困難だった『点在型インフラ』に対し、宇宙からピンポイントかつ面的にアプローチする本システムは、少子高齢化社会における次世代インフラ保守のインフラマネジメントモデルとして極めて高い社会インパクトを持ちます。テーマ1の採択と、その後の共同事業化を強く推進します。
　また、当社が保有する鉄塔は、通信用途のみならず、テナント誘致における商業・事業用途での活用も視野に入れています。衛星データや地理空間データを用いた周辺エリアの人流・交通量の定量的な把握は、テナント候補への立地価値の提示や、鉄塔の多目的活用の促進に直結する情報として活用できると考えています。こうしたデータ利活用の知見・技術を持つ方との連携も強く希望します。</t>
    <phoneticPr fontId="1"/>
  </si>
  <si>
    <t>【マッチング希望先】
&lt;必須要件&gt;
・衛星データ（特に干渉SARによる構造物・個別地点のミリ単位変位解析、または高分解能光学データによる局所的な植生・樹木解析）の技術・実績を有する方
・広域データから特定の点在オブジェクト（離散ターゲット）を自動抽出・識別し、時系列で異常兆候を判定するロジックを構築できる方
＜希望要件＞
・通信鉄塔や基地局、その他全国に点在する設備（点のアセット）のモニタリングや維持管理に関する研究・開発実績がある方
・3D都市モデル（PLATEAU等）の建物・地物データと衛星データを組み合わせ、離散オブジェクトの3次元的な経年変化可視化に知見がある方
【求めるコミットメント】
・本コンテスト「テーマ1」への応募に向けて、点在インフラのマネジメント効率化を目指し、共に熱意を持ってシステム検討・提案書作成に参画いただける方
・月2回程度の定期的な打合せ（オンライン対応可）が可能な方</t>
    <phoneticPr fontId="1"/>
  </si>
  <si>
    <t>当社は東京都港区に本社を置きますが、鉄塔は全国に分散しており、実証フィールドの選定については柔軟に対応可能です。 なお、連携の具体化にあたっては、機密保持の観点から秘密保持契約（NDA）の締結が必要となりますので、あらかじめご了承ください。</t>
    <phoneticPr fontId="1"/>
  </si>
  <si>
    <t>株式会社Stray Cats</t>
    <phoneticPr fontId="1"/>
  </si>
  <si>
    <t>AI・データ解析、数値シミュレーション、3D可視化、デジタルツインに関する研究開発およびソフトウェア開発の経験を有しています。
直近では、林野火災を対象として、ひまわり8・9号AHIの10分間隔観測、NASA FIRMSのVIIRS活火災データ、Sentinel-2による焼損域データ、JAXAの土地被覆・降水データ、気象・地形データを融合し、延焼状況を推定する災害デジタルツインの研究開発を行い、論文として取りまとめています。異なる時間・空間分解能を持つ衛星計測データを物理ベースの延焼シミュレーションとデータ同化によって統合し、実際の林野火災を用いたhindcast、独立した衛星計測との比較、GPUによる高速計算、Omniverse上での可視化、避難・進入経路評価への接続まで実施しました。
この経験を社会インフラ分野へ応用し、衛星データ、気象データ、地形・地盤情報、交通量、点検・補修履歴等を組み合わせることで、橋梁、道路、斜面等の異常・劣化リスクを広域にスクリーニングし、点検対象の優先順位付けを支援する仕組みを検討しています。また、衛星データによる広域把握と、ドローン撮影、3Dモデル化、AI解析、現地点検を連携させることで、限られた人員で効率的にインフラを維持管理できるシステムの構築を目指しています。
一方、社会インフラ維持管理における具体的な業務課題、利用可能な点検データ、実務上求められる精度や評価方法については、現場を保有する事業者との連携が不可欠です。そのため、道路・橋梁等を管理する自治体、建設コンサルタント、測量会社、インフラ点検・維持管理事業者など、課題、データ、検証環境をお持ちの方とのマッチングを希望しています。</t>
    <phoneticPr fontId="1"/>
  </si>
  <si>
    <t>OpenUSDの認定資格を有し、NVIDIA Isaac Simを用いたシミュレーション環境の構築、地理空間データ・3Dモデル・センサーデータの統合、デジタルツインの可視化に対応できます。
研究開発環境として、RTX 5090を搭載したGPUワークステーションに加え、512GBのユニファイドメモリを搭載したMac Studio M3 Ultraを保有しています。GPUを用いたAI推論や数値シミュレーションだけでなく、大容量の衛星・点群・3Dデータをメモリ上で扱う処理や、OSをまたいだ検証を自前の環境で実施できます。クラウド環境の準備を待たずに試作を開始でき、外部への持ち出しが難しいデータについても、条件が整えばローカル環境で検証できます。
共同研究では、現場課題や保有データを伺った上で、小規模な検証環境を迅速に構築し、技術的な成立性、必要なデータ、評価方法を具体化します。仕様が固まっていない段階から、課題整理、プロトタイプ開発、シミュレーション、3D可視化、デモ環境の構築まで一貫して対応できる点が、共同研究先に提供できるメリットです。
特に、衛星による広域観測、現地計測、点検記録、シミュレーション結果をOpenUSD上の共通空間に統合し、専門家の判断や関係者間の合意形成に利用できる形で提示したいと考えています。研究用の一度限りの試作ではなく、実際の業務への導入や継続運用まで見据えて共同研究を進めます。</t>
    <phoneticPr fontId="1"/>
  </si>
  <si>
    <t>衛星データを、構造物の損傷を直接判定するためではなく、点検すべき場所と時期を広域に絞り込むためのリスクスクリーニング基盤として活用する共同研究に取り組みたいと考えています。
対象は道路、橋梁、斜面、法面等を想定しています。衛星SARや光学画像に加え、降雨、地形・地盤、交通量、災害履歴、過去の点検・補修記録などを統合し、変状や劣化が発生する可能性の高い箇所を抽出します。抽出された重点箇所については、ドローンや地上センサーによる詳細計測、3Dデジタルツイン化、AIによる時系列比較へ接続し、「広域監視から詳細点検まで」を一つの業務フローとして構築したいと考えています。
共同研究では、まず実際の点検結果を正解データとして、衛星データから算出したリスク指標が、要注意箇所や劣化傾向をどの程度先行して捉えられるかを検証します。単にAIモデルの精度を競うのではなく、点検対象の削減率、見逃し率、現場作業時間、費用対効果など、実務で導入判断に使える評価指標を共同で設計したいです。
自治体やインフラ事業者は、限られた人員と予算の中で多数の施設を管理する必要があります。本研究により、定期的に全施設を同じ頻度で点検する方式から、リスクに応じて人員と予算を重点配分する予防保全型の維持管理へ移行できれば、重大事故の未然防止、点検業務の省力化、地方部を含むインフラ維持の持続可能性向上につながります。
最終的には、特定の施設や地域だけで利用する個別システムではなく、異なる管理者やインフラ種別にも展開できる共通基盤として事業化することを目指しています。現場課題、点検データ、評価環境を保有する自治体、建設コンサルタント、点検・維持管理事業者と連携し、実証から継続運用まで共同で取り組みたいと考えています。</t>
    <phoneticPr fontId="1"/>
  </si>
  <si>
    <t>【マッチング希望先】
道路、橋梁、斜面・法面などの社会インフラについて、維持管理や点検業務の実務を担う自治体、インフラ事業者、建設コンサルタント、点検会社、測量会社とのマッチングを希望しています。
【必須要件】
・実際の点検・維持管理業務における課題や判断基準を共有できること
・過去の点検記録、補修履歴、被災履歴、施設台帳等のうち、検証に利用可能なデータを保有していること
・道路、橋梁、斜面等の実証対象を選定し、衛星データによるリスクスクリーニング結果を現場知見と照合できること
・試作結果に対して、実務上の有用性や不足点を継続的に評価できること
【希望要件】
・衛星SAR、リモートセンシング、地盤変動解析、構造物モニタリング等の専門知識を有する方
・ドローン撮影、点群計測、3Dモデル化、非破壊検査等の詳細点検手段を保有する方
・過去の劣化箇所や災害発生箇所など、検証用の正解データを一定量保有している方
・共同研究後の実証導入、自治体や他事業者への横展開、事業化まで検討できる方
【求めるコミットメント】
初期段階では、2週間に1回程度の打合せを行い、対象課題、利用可能なデータ、評価指標、実証対象を共同で整理したいと考えています。その後、当方で分析・試作を進め、月1回程度のレビューを通じて現場知見を反映します。
相手方には、常時の開発作業ではなく、課題整理、必要データの提供可否の検討、実証対象の選定、試作結果の評価を中心にご協力いただく想定です。機密性の高いデータについては、匿名化、対象範囲の限定、ローカル環境での解析など、提供側の負担とリスクを抑えた方法を相談しながら進めます。</t>
    <phoneticPr fontId="1"/>
  </si>
  <si>
    <t>衛星データのみで構造物の劣化や損傷を直接確定することは難しいため、本共同研究では、衛星データを広域スクリーニングや点検優先順位付けに活用し、最終判断は既存の点検記録、現地調査、ドローン・センサー計測等と組み合わせて行う前提です。対象とするインフラや地域によって、利用可能な衛星データの種類、観測頻度、分解能、雲や植生等の影響が異なるため、初期段階で技術的成立性を共同で確認したいと考えています。
検証には、施設台帳、点検・補修履歴、被災履歴等の実データが必要となります。機密情報や個人情報を含む場合は、秘密保持契約の締結、匿名化、対象項目の限定、外部へ持ち出さないローカル解析など、データ保有者の要件に応じた方法で対応します。データの利用権限、研究成果の公開範囲、知的財産の帰属についても、研究開始前に協議したいと考えています。
打合せや開発レビューはオンラインを基本とし、現地確認や実証が必要な場合は、場所・日程・費用負担を相談のうえ対応します。最初から大規模なデータ提供や長期的な契約を求めるのではなく、限定した地域・施設・期間で小規模な成立性検証を行い、その結果を踏まえて連携範囲を段階的に拡大する進め方を希望します。</t>
    <phoneticPr fontId="1"/>
  </si>
  <si>
    <t>株式会社JTOWER 災害対策衛星データ活用プロジェクト</t>
    <phoneticPr fontId="1"/>
  </si>
  <si>
    <t xml:space="preserve">当社は通信インフラシェアリング事業者として、全国7,000本超の通信鉄塔および841件以上の屋内通信インフラを保有・運用しております。インフラの維持管理・モニタリングに係るデータを保有していますが、衛星データやリモートセンシングを活用した災害時の即時解析・AI技術については未着手の領域です。本プログラムを通じて、発災直後の迅速な被災状況把握やリスク評価技術を持つ技術シーズ保有者と連携し、防災・災害対応の高度化を実現したいと考えております。
</t>
    <phoneticPr fontId="1"/>
  </si>
  <si>
    <t>　当社は2012年の創業以来、国内通信キャリアの通信設備（屋内・屋外）のインフラシェアリングを主軸事業として展開してまいりました。NTTドコモ様・NTT東日本様・NTT西日本様より通信鉄塔約7,000本超を譲り受け、現在も全国規模で運用・保守を行っております。
　通信鉄塔は災害時における命の綱（情報の生命線）ですが、多くが地方の山間部やへき地に立地しています。そのため、大地震や豪雨などの大規模災害発生時、①鉄塔自体の倒壊やアンテナの方向ズレの有無、②復旧要員が現地に向かうためのアクセス道路（林道等）の土砂崩れや倒木による閉塞状況を即座に把握することが、極めて困難という課題を抱えています。従来の目視やドローンによる確認では初動に数日要する場合があり、衛星データを用いた広域・迅速な「発災直後の状況把握」の導入を強く求めています。</t>
    <phoneticPr fontId="1"/>
  </si>
  <si>
    <t>当社は、「日本から、世界最先端のインフラシェアリングを。」というビジョンのもと、通信インフラの提供を行う専業事業者です。コンテストの【テーマ2：防災・災害対応】への応募を強く見据えており、実フィールドを提供する「課題・ニーズ保有者」として、技術を持つパートナーを全力でバックアップします。
連携パートナーに対しては、以下のメリットを提供可能です。
・全国7,000本超の通信鉄塔のうち、実証に適した山間部・へき地等のリアルな実証フィールドの提供
・本格的な共同防災ソリューションとしての事業化・共同展開の検討</t>
    <phoneticPr fontId="1"/>
  </si>
  <si>
    <t>【取組みアイデア：衛星データを活用した通信鉄塔の被災状況および復旧ルート閉塞の即時自動診断システムの開発】
　大規模災害（地震・豪雨）の直後に、SAR衛星データ（合成開口レーダー）や光学衛星データを活用し、現地に赴くことなく「通信鉄塔の無事（倒壊・重大な変形がないか）」と「そこに至るアクセス道路の遮断状況（土砂崩れ等）」を数時間以内に自動判定するアルゴリズム・システムの共同開発を目指します。
　通信の途絶は被災地の救命活動や避難情報の伝達に直結するため、本システムの確立は極めて高い社会インパクトを持ちます。コンテストでのテーマ2応募・採択を目指し、当社の持つ豊富なアセットを用いた実証実験を経て、災害に強い次世代インフラ管理ソリューションとして早期の社会実装・共同事業化を推進します。</t>
    <phoneticPr fontId="1"/>
  </si>
  <si>
    <t>【マッチング希望先】
&lt;必須要件&gt;
・衛星データ（特に天候に左右されないSARデータや高分解能光学画像）を用いた地表面変化・構造物変状・道路閉塞の解析技術を有する方
・発災前後のデータ比較による差分抽出や、AI/機械学習を用いた画像認識・異常検知のロジックを構築できる方
＜希望要件＞
・災害対応や防災シミュレーション、あるいはインフラ被災把握に関する研究・開発実績がある方
・3D都市モデル（PLATEAU等）と衛星データを組み合わせた広域可視化・リスク評価に知見がある方
【求めるコミットメント】
・本コンテスト「テーマ2」への応募に向けて、共に熱意を持ってシステム検討・提案書作成に参画いただける方
・月2回程度の定期的な打合せ（オンライン対応可）が可能な方</t>
    <phoneticPr fontId="1"/>
  </si>
  <si>
    <t>当社は東京都港区に本社を置きますが、鉄塔は全国に分散しており、実証フィールドの選定については柔軟に対応可能です。 なお、連携の具体化にあたっては、機密保持の観点から秘密保持契約（NDA）の締結が必要となりますので、あらかじめご了承ください。</t>
    <phoneticPr fontId="1"/>
  </si>
  <si>
    <t>Virtue Fieldworks</t>
    <phoneticPr fontId="1"/>
  </si>
  <si>
    <t>衛星データそのものの解析経験や、衛星データを用いたR&amp;Dプロジェクトへの参加実績は現時点ではありません。
現在は、完全オフライン環境で動作する現場支援AIの自費試作を行っており、音声入力、役割別のAI応答、限定された権限による処理、監査記録等の基本機能を検証しています。また、施設・地域単位でAIを分散配置し、人による確認・承認を前提として、点検や保全判断を支援するシステムを設計しています。
衛星データについては、SAR・InSAR、光学データ、地形・気象データ等を、道路トンネル及び坑口周辺斜面の変状・災害リスク把握に活用するユースケースを検討しています。一方、衛星データの前処理、解析、精度検証については専門的知見が不足しているため、衛星解析・GIS分野の技術シーズを有する方との連携を希望しています。</t>
    <phoneticPr fontId="1"/>
  </si>
  <si>
    <t>道路、トンネル等の維持管理業務に従事した実務経験はありません。
一方、個人発明家・個人事業主として、AIによる施設安全管理、点検判断、人とAIの役割分担、監査、保全部材管理等を一体化するシステムの構想及び特許出願を進めています。
社会インフラ分野では、施設の老朽化、維持管理技術者の不足、広域点検の負担、点検情報の分散、災害発生時の判断遅延等が課題になると考えています。ただし、これらは現時点では公開情報等に基づく課題仮説であるため、実際の点検基準、業務手順、過去の変状・補修履歴、現場で必要とされる判断等について知見を有する自治体、道路管理者、インフラ保全事業者等との連携を希望しています。</t>
    <phoneticPr fontId="1"/>
  </si>
  <si>
    <t xml:space="preserve">Virtue Fieldworksは、発明、特許出願、知的財産の活用、試作品開発及び企業等への技術提案を行う個人事業です。複数の特許出願済み技術を有しており、閉域環境で動作する現場支援AIについては、音声入力から役割別のAI応答を行う初期的な自費試作を行っています。
私が提供できる価値は、衛星データの解析結果を表示するだけで終わらせず、人による確認、点検優先順位の決定、現場への追加確認依頼、実施記録、監査及び保全部材管理までを一つの運用として設計することです。
共同研究では、システム全体設計、画面・AI機能・データ連携の試作、人とAIの役割分担及び監査を含む運用設計を担当できます。衛星解析やインフラ維持管理の専門家とそれぞれの知見を組み合わせ、実際の管理業務で利用可能なソリューションへ発展させたいと考えています。
</t>
    <phoneticPr fontId="1"/>
  </si>
  <si>
    <t xml:space="preserve">仮称「衛星観測×人協調AIによる道路トンネル予防保全支援システム」の共同研究に取り組みたいと考えています。
奈良県内の山間部道路トンネル群及び坑口周辺斜面を初期対象として、SAR・InSAR、光学データ、地形・気象情報、既存の点検記録等を組み合わせ、変状や災害リスクが疑われる箇所を広域から抽出します。
抽出結果は、人が確認・判断するための根拠情報として提示します。その上で、地域単位の管理AIが追加点検の候補、優先順位及び必要な確認項目等を整理し、施設側の現場支援AIと連携して、点検依頼、結果記録、監査及び保全部材管理までを支援する構成を検討します。
これにより、限られた人員による点検の効率化、異常の早期把握、重大事故の予防及び災害時の状況判断の迅速化に貢献することを目指します。
</t>
    <phoneticPr fontId="1"/>
  </si>
  <si>
    <t>【優先度の高いマッチング希望先】
1．衛星データ・GIS解析の専門家
・SAR、InSAR、光学衛星データ等の解析経験を有する方
・ALOS-2／ALOS-4、Sentinel-1等のデータ選定、前処理及び精度検証について助言できる方
・QGIS等を用いた地理空間情報の可視化・統合が可能な方
2．道路・トンネル維持管理の実務者
・道路トンネル、坑口周辺斜面等の点検・維持管理に関する知見を有する方
・点検項目、異常判断、補修優先順位等の実務的な評価が可能な方
・可能であれば、匿名化した点検記録、災害履歴又は実証候補地域について相談できる自治体・事業者の方
【希望する専門性】
・ドローン、点検ロボット、地上センサー等を用いた現場確認技術
・インフラ管理データベース、AI、ローカル処理、監査システム等の開発経験
・研究成果の事業化、自治体実証、共同研究等を支援できる方
連携方法はオンラインを中心とし、進捗に応じて月１～2回程度の打合せを想定しています。個人、企業、大学・研究機関、自治体等の所属形態は問いません。</t>
    <phoneticPr fontId="1"/>
  </si>
  <si>
    <t>現在は個人事業主一名で活動しており、衛星データ解析及び道路・トンネル維持管理の実務経験が不足しています。そのため、本プログラムを通じて不足する専門性を補い、役割分担が明確なチームを形成したいと考えています。
既存の特許出願、設計資料及び現場支援AIの自費試作は、私が本プログラム参加前から保有する背景知財です。未公開の技術詳細を共有する場合は、秘密保持条件を確認した上で、既存知財と共同研究で新たに生じる成果の帰属、利用条件及び公表範囲を事前に協議させてください。
チーム形成後の応募代表者については固定しておらず、各参加者の専門性、実施体制及び事務対応能力を踏まえて協議可能です。ただし、背景知財の帰属を維持した上で、各参加者の貢献と役割が明確になる形を希望します。
奈良県を拠点としているため、通常の打合せはオンラインを希望します。対面での打合せや現地確認については、関西圏を中心に相談可能です。</t>
    <phoneticPr fontId="1"/>
  </si>
  <si>
    <t>株式会社大和インフラロボティクス</t>
    <phoneticPr fontId="1"/>
  </si>
  <si>
    <t>"当社はAI・ロボティクス技術を活用した社会インフラ維持管理DXを事業ドメインとしています 。衛星データそのものの解析経験は現時点では有していませんが 、以下のデータ利活用に関する知見・実務経験を有しています。
・AI画像解析：深層学習（DeepLabV3+、YOLO）による物体検出・セグメンテーション、RAG（検索拡張生成）を用いたAIシステム開発
・三次元センシング：LiDAR・RGB-Dカメラ・IMUを用いた自律走行・自己位置推定システムの基本設計 。3D LiDAR（Velodyne VLP-32C）、RGB-Dカメラ（Zed 2i）を用いた点群による形状把握と画像による損傷検知の統合
・自律移動ロボット：ROS／ROS2、LiDAR-SLAM、YOLO物体検出によるナビゲーションシステム開発の実務経験者が複数在籍（Movel AI社（シンガポール）での自律搬送ロボット開発、Vitrox Agritech社での農業ロボットROS開発等）
・データ基盤：点検データを構造化保存し3Dモデル上で可視化するクラウド型SaaSプラットフォームの開発
・研究発表：IEEE国際会議での論文発表実績（道路セグメンテーション、自律探索マッピング等）
この技術と衛星データをもとに課題解決をしていきたいと考えております。"</t>
    <phoneticPr fontId="1"/>
  </si>
  <si>
    <t>"AI・ロボティクス技術を活用した社会インフラの維持管理DXを事業ドメインとし、自律走行型橋梁点検ロボットおよびAI画像解析・クラウドデータ管理システムの研究開発を中核事業としています。あわせて、社会インフラ構造物の調査、点検、診断、設計、補修及び維持管理に関する業務、ならびに建設コンサルタント業務を行っています。
【認識している課題領域】
日本には約73万橋の道路橋が存在し、道路法施行規則の改正により5年に1度の近接目視による定期点検が義務化されています。その結果、年間14万橋以上の点検需要が発生している一方で、建設分野では技術者の高齢化・人材不足が深刻化しており、特に地方自治体では点検を担う専門技術者の確保が困難な状況にあります。
現場レベルでは、以下の制約が課題になっていると認識しています。
従来の橋梁点検は人手による高所・狭隘部での作業が中心であり、安全性リスクが高い
点検品質が作業者の経験や判断に依存するため、ばらつきが生じやすい
点検記録や診断調書の作成も多くが手作業で行われており、内勤業務の負荷が大きい
足場設置には数百万円規模のコストと長期間の交通規制を要し、高所作業車も1日あたり約10〜30万円のレンタル費用が発生する
風況や空間制約によりドローンの使用は困難な場合が多く、人が立ち入れない狭隘部・高架下の点検が難しい
【当社の取り組み】
これらの課題に対し、当社は橋梁上面から桁下面まで到達可能な伸縮・関節ハイブリッドアーム機構を独自設計した自律走行型橋梁点検ロボット「ジラフ」を開発しています。「現場走行 → 近接撮影 → AI診断 → クラウド管理」を一体で成立させる点検DX基盤の構築に取り組んでおり、令和8年2月に初期プロトタイプの組立完了を予定しています。
【連携体制・実証環境】
橋梁工学を専門とする熊本大学の研究者に技術顧問として参画いただいているほか、橋梁維持管理の実務経験を有する建設コンサルタント会社と連携し、実橋梁を用いた検証フィールドを確保しています。今後、実橋梁での現場実証を通じて、従来の有人による近接目視点検との比較検証を行う計画です。"</t>
    <phoneticPr fontId="1"/>
  </si>
  <si>
    <t>"・令和6年8月26日設立（設立時の商号はIRISA株式会社、令和7年9月5日に現商号へ変更）のスタートアップ企業
・機械・電気・ソフトウェア・AIの各領域を担う17名のエンジニアチームを擁しています
・土木領域において、現場を１０年以上経験したものを３名擁しています
・令和7年10月にイーストベンチャーズ（5号ファンド）より第三者割当増資を受け、開発体制を強化しました
【チームの実績】
・24歳でAIロボティクス分野の博士号(Ph.D.)を取得
・RoboCup国際大会（オランダ2024）ヒューマノイドカテゴリ優勝、タイ2022大会3位入賞
・ABU Robocon国際大会2021 準優勝（マレーシア代表）
・インドネシア国内ロボットコンテスト（KRI）にて2020年〜2024年に計10回以上の優勝・入賞
・IEEE国際会議での論文発表実績
・熊本大学の橋梁工学分野の研究者が技術顧問として参画
【提供できる環境】
・建設コンサルタント会社の協力により、実橋梁を用いた検証フィールドを確保
・橋梁下面において高解像度カメラおよびLiDARを用いて画像データおよび点群データを取得する体制を構築中"</t>
    <phoneticPr fontId="1"/>
  </si>
  <si>
    <t>"【現状の課題】
現在当社は、地上ロボットによる近接撮影とAI解析から得られるミクロなデータをもとに、橋梁の点検・補修に取り組んでいます。あわせてアルゴリズムによるシミュレーションも行っていますが、入力できるのが個別構造物の局所的な実測値に限られるため、精度に限界があります。構造物の劣化を左右する周辺地盤の変動、環境条件の変化、交通荷重の履歴といったマクロな要因を、現状では定量的に取り込めていないことが課題です。
【衛星データを用いて取り組みたいこと】
そこで今後は、衛星データから、周辺地盤の変動や広域的な変位傾向、インフラ周辺環境（地盤、植生、土地利用等）の経年変化、交通量・人流のモニタリングによる構造物への負荷傾向といったマクロな情報を、継続的かつ面的に取得したいと考えています。これらをシミュレーションの入力条件として組み込むことで劣化予測の精度を向上させ、その結果から点検の優先度を導出します。優先度の高い構造物に対しては地上ロボットが近接精密点検を実施し、そこで得られたミクロな実測結果をシミュレーションに再度フィードバックすることで、予測精度を継続的に高めていくループの構築を目指します。
【目指す姿と社会的意義】
このようにマクロ（衛星）とミクロ（地上ロボット）を接続することで、「5年に1度、全橋を一律に点検する」という現在の方式から、リスクに応じて資源を配分する予防保全型の維持管理への転換に貢献したいと考えています。技術者不足が深刻な地方自治体において、限られた人員でより多くの構造物を管理可能とすることが最終的な狙いです。
【災害対応への展開】
また、この枠組みは災害対応にも応用できると考えています。発災後の広域的な被災状況把握に衛星データを活用することで、点検が必要な構造物を早期に絞り込み、絞り込まれた箇所に地上ロボットを投入することで、人が立ち入れない状況下でも迅速な状況把握が可能になると想定しています。平時から蓄積したマクロデータは、災害リスク評価の基礎データとしても活用できると考えています。"</t>
    <phoneticPr fontId="1"/>
  </si>
  <si>
    <t>"【マッチング希望先】
当社は、道路橋をはじめとする老朽化インフラの状態把握・劣化予測に取り組んでいます。現在は自律走行ロボットとAI画像解析による「個別構造物の近接精密点検」を開発していますが、多数の構造物を管理する自治体の実務では、点検の優先順位付けを行う広域的な視点が不可欠だと考えています。衛星データによる面的な把握と、地上ロボットによる点的な精密診断を組み合わせることで、テーマ1に掲げられている「インフラ構造物の劣化等の点検やモニタリングの効率化・高度化・人手不足解消」および「インフラ点検の評価・診断や予防保全計画策定の効率化」に取り組みたいと考えています。
そのため、以下の方とのマッチングを希望します。
・衛星データを物理モデルやシミュレーションの入力条件として扱った経験がある方（データ同化、パラメータ推定等）
・インフラ周辺環境（地盤、植生、土地利用等）の経年変化の抽出に知見のある方
・衛星データを用いた交通量・人流のモニタリングに関心のある方
・防災・災害対策に関心があり、発災後の被災構造物の絞り込みへの展開を一緒に構想できる方
【当社が提供できるもの】
実橋梁を用いた検証フィールド（橋梁維持管理の実務経験を有する建設コンサルタント会社の協力により確保）
橋梁下面の高解像度画像・LiDAR点群データの取得体制。衛星データの精度検証における地上検証データとしてご活用いただける可能性があります
橋梁工学を専門とする大学研究者の技術顧問参画による学術的知見
機械・電気・ソフトウェア・AIの各領域を担う17名のエンジニアチームによる開発体制＋
熊本県内の橋梁を対象とした実証環境。公募サイトで参考データとして挙げられている熊本県施設管理データベースとの照合検証が可能な地域的優位性があります"</t>
    <phoneticPr fontId="1"/>
  </si>
  <si>
    <t>"【拠点・打合せ方法】
•当社は北九州市を活動拠点としています
•日常的な打合せはオンライン（Web会議）を中心に進める想定のため、オンラインでのやり取りが可能な方を希望します
•実証フェーズ等、必要な場面では対面での連携をお願いする可能性があります
【秘密保持】
•当社は開発中の技術について特許出願を行っており、学習データ・モデル重み・制御パラメータ・運用ノウハウ等を営業秘密として管理しています
•具体的な技術情報の共有にあたっては、事前に秘密保持契約（NDA）を締結させていただきます
【データの取り扱い】
•本取組では、自治体等が保有する点検記録・台帳データなど、行政が管理するデータを取り扱う想定です
•利用目的の範囲を超えた利用、第三者への開示、無断での持ち出しは行わないことを前提とします
•アクセス権限の最小化やログ管理を含めた厳格な管理にご協力いただける方を希望します（当社も同様の体制で臨みます）
【コミュニケーション言語】
•当社の開発チームには外国籍のエンジニアが多数在籍しています
•打合せや資料のやり取りにおいて、翻訳ツール等を活用したコミュニケーションにご協力いただけると有難いです
•技術的な議論は英語または翻訳を介した形でも進められる体制です"</t>
    <phoneticPr fontId="1"/>
  </si>
  <si>
    <t>SAT-LPAS Road（個人開発）</t>
  </si>
  <si>
    <t>GRID</t>
  </si>
  <si>
    <t xml:space="preserve">LPASは、センサー等から得られる時系列データについて、位相・振幅に関係する特徴を用い、状態変化や傾向の切替候補を抽出することを目的とした試作アルゴリズムです。合成波形や参照用の数値信号で初期的な処理確認を行っています。様々な時系列データへの応用可能性を検討しており、現在は公開されたSAR成果と道路GISを用いて衛星データへの適用を予備的に試しています。現段階では用途ごとの有効性や性能は未確立です。
</t>
  </si>
  <si>
    <t>当社は、AI・数理最適化・デジタルツインを用い、物流、海運、港湾、電力、製造等の社会インフラ領域において、需要、在庫、設備能力、気象、港湾条件、車両・船舶、人員等の多様なデータを統合し、予測・シミュレーション・最適な計画立案につなげるシステムを開発・運用してきました。衛星データそのものの解析・サービス提供実績は現時点では限定的ですが、時空間データや不確実性を業務上の制約・リスクシナリオへ変換し、実行可能な意思決定へ接続する技術と実装経験を有しています。今後は、SAR・光学衛星等から得られる地盤変位、浸水、道路閉塞、土地利用変化等の情報を、輸送・配船・復旧資源配分・点検計画の最適化に取り込みたいと考えています。衛星データの選定、前処理、変化検知・被害推定については専門性を持つパートナーと補完関係を構築し、解析結果を現場で使える計画・判断へつなげる役割を担いたいと考えています。</t>
  </si>
  <si>
    <t xml:space="preserve">現在は、道路土構造物や周辺斜面の広域モニタリングと確認優先度付けを応用候補の一つとして検討しています。公開データによる予備的な処理確認は行っていますが、道路管理・点検の現場実務経験はありません。実務上の課題、利用可能なデータ及び必要な出力を共に整理し、実証設計と評価に参画いただける方を探しています。
</t>
  </si>
  <si>
    <t>当社は、電力、海運、陸上輸送、港湾ロジスティクス、建設、建物設備等の社会インフラ領域で、AIによる計画最適化・業務システム開発に取り組んできました。具体的には、需要・在庫・港湾制約・船舶性能・労働条件・天候等を考慮した配船計画、車両・ドライバー制約を踏まえた陸上輸送計画、バース・ヤード・荷役機器の運用計画、発電・需給計画、建設工程や空調熱源の最適化等です。これらの現場では、複雑な制約条件と膨大な組合せ、熟練者への依存、データの分散、状況変化のたびに発生する再計画、コスト・安定供給・労働負荷・CO2削減の同時達成が共通課題です。配船領域では、計画時間を約1/60に削減し運送効率を最大約20％向上した事例、数時間を要した計画を10分に短縮した事例、天候を考慮した自動リプランにより輸送コストを5％削減した事例があります。衛星データによる広域・継続的な状況把握をこうした計画業務へ組み込むことで、平時の予防保全と災害時の迅速な再計画を高度化できると考えています。</t>
    <phoneticPr fontId="1"/>
  </si>
  <si>
    <t xml:space="preserve">現在は個人で、AIを活用しながらLPASのアルゴリズム案、プロトタイプ及び評価方法を検討しています。2026年4月に関連する特許を出願していますが、現段階で権利化は確定していません。私からは現在の技術案、プロトタイプ及び初期的な検証結果を提供できます。共同検討に必要な内容は適切に共有し、衛星データとインフラ分野の知見を取り入れながら共同で具体化したいと考えています。
</t>
  </si>
  <si>
    <t>株式会社グリッドは、社会インフラ領域における数理最適化を中核的な強みとする技術企業です。電力、海運、物流、製造、都市交通等の現場で培ったドメイン知識を基に、需要予測、シミュレーション、デジタルツイン等も組み合わせ、複雑な業務制約や判断基準、KPIを反映した実行可能な計画を導きます。私たちの強みは、最適化エンジンの開発にとどまらず、現場データの整理・統合、シナリオ分析、結果の可視化、業務アプリケーション開発、運用定着まで一気通貫で支援できる点です。コスト、リスク、安定供給、環境負荷等のトレードオフを分かりやすく示し、「何を、いつ、どの順番で実行するか」という意思決定につなげます。共同研究では、衛星解析の成果を輸送、配船、点検、設備投資、復旧計画等の目的関数・制約条件へ落とし込み、現場で使える計画へ変換する役割を担えます。課題設定からPoC、アルゴリズム・画面開発、実証評価、社会実装まで、異なる専門性を持つパートナーと伴走したいと考えています。</t>
  </si>
  <si>
    <t xml:space="preserve">LPASを衛星データによるインフラ周辺の変化把握や確認候補の絞り込みに活用できる可能性を検討したいと考えています。現時点で対象課題、利用データ、処理方法及び評価指標は確定していません。そのため、マッチング先と共に現場課題と利用可能なデータを整理し、小規模な検証から適用可能性と限界を確認したいです。将来的には、現地確認や詳細解析を行う区間の優先順位付けを支援する仕組みを目指します。
</t>
  </si>
  <si>
    <t>・衛星データの選定、前処理、品質評価及び結果解釈に知見を有する方。
・道路や周辺斜面等の維持管理課題を把握している自治体、管理者、建設コンサルタント、点検事業者等の方。
・検証に利用できる衛星データ、点検・補修履歴、測量結果又は実証フィールドについて相談できる方。
上記のいずれかの知見をお持ちの方と、対象課題と小規模な検証方法を共に具体化することを希望します。
【想定する進め方】
まずはオンラインで意見交換し、利用可能なデータと実施可能な検証範囲を整理したいと考えています。具体的な進め方や頻度は、マッチング後に相談しながら決定します。</t>
  </si>
  <si>
    <t>関東在住で、通常の仕事を続けながら個人で検討しています。打合せはオンライン中心を希望します。個人環境のため大規模な検証は難しく、小規模な検証から段階的に進めたいと考えています。関連する特許は出願済みですが、現段階で権利化は確定していません。技術内容は必要に応じて共有し、共同改良や成果公開等の取扱いは具体化の段階で協議したいと考えています。</t>
  </si>
  <si>
    <t>① 衛星・地上データを用いた災害時のマルチモーダル輸送・インフラ復旧計画の動的最適化
本マッチングを通じてパートナーとチームを組成し、NEDO Challengeへの共同提案を検討します。SAR・光学衛星等から得られる浸水、土砂災害、地盤変位、道路閉塞、港湾周辺の変状等を、道路・港湾・交通・気象情報や車両、船舶、倉庫、人員等のデータと統合します。道路・港湾の利用可否や処理能力の変化を制約として、緊急物資、復旧要員・機材、代替ルート、陸海の輸送モード、拠点配置を動的に最適化し、複数シナリオを比較できる意思決定支援システムを構築します。衛星解析を検知・可視化で終わらせず、限られた輸送能力と復旧資源の配分判断につなげ、対応時間の短縮と供給途絶の抑制を目指します。
② 衛星・点検データを用いた電柱AIP（Asset Investment Planning：設備投資計画）の最適化
電柱ごとに、設置年、材質、点検・補修履歴、ひび割れ・剥離等の劣化度、停電時の影響、重要施設への供給といった設備情報に、衛星等から得られる地盤変位、浸水、土砂災害、植生等の周辺リスクを統合し、故障確率と影響度からリスクを定量化します。その上で、予算、作業員、部材、工期、地域ごとの工事集約等の制約下で、「次にどの電柱を点検・補修・補強・建替えするか」を多年度で最適化します。衛星データは微細なひび割れを直接判定するのではなく広域の周辺リスク把握に用い、ドローン・車載画像・現地点検で設備状態を評価する想定です。費用、リスク低減、設備寿命、供給信頼度のトレードオフを可視化し、投資シナリオの比較と説明可能な優先順位づけを支援します。
③ 衛星・地上データを用いた広域除排雪リソースの動的最適化
衛星による広域の積雪分布・積雪深、気象予報、路面・交通情報、除雪車の位置・稼働状況を統合し、除雪車、作業員、融雪剤をどの地域へ配分するか、どの道路をどの順番で除雪するか、どの雪捨て場へ搬送するかを動的に最適化します。衛星データは道路一本単位の積雪を直接判定するのではなく、観測地点が少ない山間部を含む広域状況の把握と予測補正に利用し、車載・路面センサー等で道路単位の状態を補完します。病院、消防署、避難所、物流拠点等へのアクセス確保、自治体・管理区間を越えた応援車両の配分、ドライバーの勤務、車線数、梯団走行、雪捨て場容量等を制約として、豪雪時の道路啓開時間、走行不能区間、燃料・融雪剤使用量の削減を目指します。
④ 災害時の仮設ドローンポート配置最適化
平時に自治体等が登録した学校、公共施設、空き地等の候補地に対し、発災後の衛星データから道路寸断、浸水、孤立地域等の状況を把握し、限られた仮設ドローンポート、充電設備、機体をどこに配置すれば、医薬品・物資輸送、状況確認、通信中継を効率的にカバーできるかを最適化します。撮像時刻、飛行可能範囲、航続距離、電源、拠点開設コスト等の制約を考慮し、候補拠点の開設優先順位、担当エリア、機体・物資の配分を提示します。衛星画像のみで離着陸可否を自動判定するのではなく、事前登録候補地を対象に発災後の状況変化を反映する意思決定支援として、実証可能性を確保します。
いずれの案でも、当社は課題整理、数理モデル化、シミュレーション・最適化、可視化・業務アプリケーション、実証設計を担当し、マッチング先には衛星解析、設備・現場データ、実証フィールド、現場評価の知見を期待します。対象地域、利用データ、役割分担、評価指標を共同で具体化し、コンテスト後の共同研究・事業化にもつなげたいと考えています。</t>
  </si>
  <si>
    <t>【共同応募に関する必須要件】
・本マッチングを、NEDO Challengeへのチーム応募を具体化する機会と捉え、応募期限までに提案内容、応募体制、代表者、役割分担、開発・評価計画を協議できる方。
・以下の①または②の専門性・環境を提供できる大学、研究機関、企業、自治体・事業者の方。
①衛星データ技術：SARまたは光学衛星を用いた浸水・土砂災害・地盤変位・道路閉塞・構造物／周辺環境の変化検知に知見があり、解析結果の精度、不確実性、更新頻度を説明できること。
②現場・データ：道路、港湾、物流、自治体、防災、インフラ管理の実務知見を持ち、対象施設・地域の台帳、交通・運用実績、過去災害・対応記録、制約条件等を可能な範囲で共有し、実証フィールドまたは現場評価に協力できること。
【歓迎要件】
・PLATEAU、GIS、地上センサ、気象・交通データとの統合、被害推定、データAPI化に知見がある方。
・コンテスト後の共同研究・事業化も見据え、知財、データ利用条件、成果公表等を協議できる方。
【想定する役割と進め方】
当社は課題整理、数理モデル化、シミュレーション・最適化エンジン、業務アプリケーション、実証設計を担当します。マッチング先には衛星解析または現場知見・検証環境の提供を期待します。初期は週1回・60分程度のオンライン打合せと各者1名以上の担当者配置を目安に、応募期限までに共同提案の骨子と実施体制をまとめることを希望します。</t>
  </si>
  <si>
    <t>正式な共同応募に先立ち、初回協議で提案テーマ、応募代表者・参加メンバー、各者の役割、応募書類の作成分担、一次審査通過後に投入可能な人員・開発環境を確認したいと考えています。その上で、①背景知財と共同開発で生じる成果知財の帰属・利用条件、②データの利用目的・保管場所・アクセス権・削除方法、③成果公表・対外発表、④開発・実証費用の負担、⑤コンテスト後の共同研究・事業化方針を協議できれば幸いです。施設情報、運用データ、未公開アルゴリズム等の機密情報を共有する場合は、共有前に必要に応じて相互の秘密保持契約（NDA）を締結します。当社はプロジェクト責任者、最適化／AI担当、データ・アプリケーション担当を中心とする体制を想定し、衛星解析担当および現場・評価担当と一体で進めます。機微なインフラ情報については、匿名化・集約化や閉域／指定環境での解析にも対応を検討します。共同応募、データ提供、対外公表は各社・各機関の社内手続きと承認を前提とし、マッチング後、応募期限を踏まえて速やかに合意事項を整理したいと考え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</si>
</sst>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scheme val="minor"/>
    </font>
    <font>
      <sz val="6"/>
      <name val="游ゴシック"/>
      <family val="3"/>
      <charset val="128"/>
      <scheme val="minor"/>
    </font>
    <font>
      <sz val="10"/>
      <color theme="1"/>
      <name val="游ゴシック"/>
      <family val="2"/>
      <scheme val="minor"/>
    </font>
    <font>
      <sz val="10"/>
      <color theme="1"/>
      <name val="游ゴシック"/>
      <family val="3"/>
      <charset val="128"/>
      <scheme val="minor"/>
    </font>
    <font>
      <sz val="9"/>
      <color theme="1"/>
      <name val="游ゴシック"/>
      <family val="3"/>
      <charset val="128"/>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3" fillId="2" borderId="0" xfId="0" applyFont="1" applyFill="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0" xfId="0" applyFont="1"/>
    <xf numFmtId="0" fontId="3" fillId="0" borderId="0" xfId="0" applyFont="1" applyAlignment="1">
      <alignment vertical="top"/>
    </xf>
    <xf numFmtId="0" fontId="3" fillId="0" borderId="1" xfId="0" applyFont="1" applyBorder="1"/>
    <xf numFmtId="0" fontId="3" fillId="0" borderId="0" xfId="0" applyFont="1" applyAlignment="1">
      <alignment wrapText="1"/>
    </xf>
    <xf numFmtId="0" fontId="2" fillId="2" borderId="2" xfId="0" applyFont="1" applyFill="1" applyBorder="1" applyAlignment="1">
      <alignment horizontal="left" vertical="top"/>
    </xf>
    <xf numFmtId="0" fontId="3" fillId="0" borderId="2" xfId="0" applyFont="1" applyBorder="1" applyAlignment="1">
      <alignment horizontal="left" vertical="top" wrapText="1"/>
    </xf>
    <xf numFmtId="0" fontId="3" fillId="0" borderId="2" xfId="0" applyFont="1" applyBorder="1"/>
    <xf numFmtId="0" fontId="3" fillId="0" borderId="0" xfId="0" applyFont="1" applyAlignment="1">
      <alignment horizontal="left" vertical="top" wrapText="1"/>
    </xf>
    <xf numFmtId="0" fontId="4" fillId="0" borderId="1"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showGridLines="0" tabSelected="1" zoomScaleNormal="100" zoomScaleSheetLayoutView="100" workbookViewId="0">
      <pane xSplit="2" ySplit="1" topLeftCell="C2" activePane="bottomRight" state="frozen"/>
      <selection pane="topRight" activeCell="C1" sqref="C1"/>
      <selection pane="bottomLeft" activeCell="A2" sqref="A2"/>
      <selection pane="bottomRight" activeCell="C2" sqref="C2"/>
    </sheetView>
  </sheetViews>
  <sheetFormatPr defaultColWidth="8.69921875" defaultRowHeight="16.2" x14ac:dyDescent="0.4"/>
  <cols>
    <col min="1" max="1" width="3.19921875" style="6" customWidth="1"/>
    <col min="2" max="2" width="22.796875" style="6" customWidth="1"/>
    <col min="3" max="3" width="29.69921875" style="6" customWidth="1"/>
    <col min="4" max="4" width="93.69921875" style="6" customWidth="1"/>
    <col min="5" max="5" width="113.19921875" style="6" customWidth="1"/>
    <col min="6" max="6" width="94" style="6" customWidth="1"/>
    <col min="7" max="7" width="169.69921875" style="6" customWidth="1"/>
    <col min="8" max="8" width="133.69921875" style="6" customWidth="1"/>
    <col min="9" max="9" width="60.3984375" style="6" customWidth="1"/>
    <col min="10" max="10" width="63.69921875" style="8" customWidth="1"/>
    <col min="11" max="16384" width="8.69921875" style="6"/>
  </cols>
  <sheetData>
    <row r="1" spans="1:10" s="3" customFormat="1" x14ac:dyDescent="0.45">
      <c r="A1" s="1" t="s">
        <v>0</v>
      </c>
      <c r="B1" s="1" t="s">
        <v>1</v>
      </c>
      <c r="C1" s="2" t="s">
        <v>2</v>
      </c>
      <c r="D1" s="1" t="s">
        <v>3</v>
      </c>
      <c r="E1" s="1" t="s">
        <v>4</v>
      </c>
      <c r="F1" s="1" t="s">
        <v>5</v>
      </c>
      <c r="G1" s="1" t="s">
        <v>6</v>
      </c>
      <c r="H1" s="1" t="s">
        <v>7</v>
      </c>
      <c r="I1" s="10" t="s">
        <v>8</v>
      </c>
      <c r="J1" s="1" t="s">
        <v>9</v>
      </c>
    </row>
    <row r="2" spans="1:10" ht="226.8" x14ac:dyDescent="0.4">
      <c r="A2" s="4">
        <f t="shared" ref="A2:A9" si="0">ROW() - ROW($A$2) + 1</f>
        <v>1</v>
      </c>
      <c r="B2" s="5" t="s">
        <v>10</v>
      </c>
      <c r="C2" s="4" t="s">
        <v>13</v>
      </c>
      <c r="D2" s="5" t="s">
        <v>15</v>
      </c>
      <c r="E2" s="5" t="s">
        <v>18</v>
      </c>
      <c r="F2" s="5" t="s">
        <v>20</v>
      </c>
      <c r="G2" s="5" t="s">
        <v>23</v>
      </c>
      <c r="H2" s="5" t="s">
        <v>25</v>
      </c>
      <c r="I2" s="11"/>
      <c r="J2" s="5" t="s">
        <v>97</v>
      </c>
    </row>
    <row r="3" spans="1:10" ht="259.2" x14ac:dyDescent="0.4">
      <c r="A3" s="4">
        <f t="shared" si="0"/>
        <v>2</v>
      </c>
      <c r="B3" s="5" t="s">
        <v>11</v>
      </c>
      <c r="C3" s="4" t="s">
        <v>14</v>
      </c>
      <c r="D3" s="5" t="s">
        <v>16</v>
      </c>
      <c r="E3" s="5" t="s">
        <v>41</v>
      </c>
      <c r="F3" s="5" t="s">
        <v>21</v>
      </c>
      <c r="G3" s="5" t="s">
        <v>24</v>
      </c>
      <c r="H3" s="5" t="s">
        <v>26</v>
      </c>
      <c r="I3" s="11" t="s">
        <v>28</v>
      </c>
      <c r="J3" s="5" t="s">
        <v>97</v>
      </c>
    </row>
    <row r="4" spans="1:10" ht="409.6" x14ac:dyDescent="0.4">
      <c r="A4" s="4">
        <f t="shared" si="0"/>
        <v>3</v>
      </c>
      <c r="B4" s="5" t="s">
        <v>12</v>
      </c>
      <c r="C4" s="4" t="s">
        <v>13</v>
      </c>
      <c r="D4" s="5" t="s">
        <v>17</v>
      </c>
      <c r="E4" s="5" t="s">
        <v>19</v>
      </c>
      <c r="F4" s="5" t="s">
        <v>22</v>
      </c>
      <c r="G4" s="5" t="s">
        <v>40</v>
      </c>
      <c r="H4" s="5" t="s">
        <v>27</v>
      </c>
      <c r="I4" s="11" t="s">
        <v>29</v>
      </c>
      <c r="J4" s="5" t="s">
        <v>96</v>
      </c>
    </row>
    <row r="5" spans="1:10" s="7" customFormat="1" ht="390" x14ac:dyDescent="0.45">
      <c r="A5" s="4">
        <f t="shared" si="0"/>
        <v>4</v>
      </c>
      <c r="B5" s="5" t="s">
        <v>98</v>
      </c>
      <c r="C5" s="4" t="s">
        <v>14</v>
      </c>
      <c r="D5" s="5" t="s">
        <v>30</v>
      </c>
      <c r="E5" s="5" t="s">
        <v>31</v>
      </c>
      <c r="F5" s="5" t="s">
        <v>32</v>
      </c>
      <c r="G5" s="5" t="s">
        <v>33</v>
      </c>
      <c r="H5" s="14" t="s">
        <v>34</v>
      </c>
      <c r="I5" s="11" t="s">
        <v>35</v>
      </c>
      <c r="J5" s="5" t="s">
        <v>96</v>
      </c>
    </row>
    <row r="6" spans="1:10" s="13" customFormat="1" ht="210.6" x14ac:dyDescent="0.45">
      <c r="A6" s="5">
        <f t="shared" si="0"/>
        <v>5</v>
      </c>
      <c r="B6" s="5" t="s">
        <v>42</v>
      </c>
      <c r="C6" s="5" t="s">
        <v>43</v>
      </c>
      <c r="D6" s="5" t="s">
        <v>44</v>
      </c>
      <c r="E6" s="5" t="s">
        <v>45</v>
      </c>
      <c r="F6" s="5" t="s">
        <v>46</v>
      </c>
      <c r="G6" s="5" t="s">
        <v>47</v>
      </c>
      <c r="H6" s="5" t="s">
        <v>48</v>
      </c>
      <c r="I6" s="11" t="s">
        <v>49</v>
      </c>
      <c r="J6" s="5" t="s">
        <v>95</v>
      </c>
    </row>
    <row r="7" spans="1:10" s="13" customFormat="1" ht="405" x14ac:dyDescent="0.45">
      <c r="A7" s="5">
        <f t="shared" si="0"/>
        <v>6</v>
      </c>
      <c r="B7" s="5" t="s">
        <v>50</v>
      </c>
      <c r="C7" s="5" t="s">
        <v>14</v>
      </c>
      <c r="D7" s="5" t="s">
        <v>51</v>
      </c>
      <c r="E7" s="5" t="s">
        <v>52</v>
      </c>
      <c r="F7" s="5" t="s">
        <v>53</v>
      </c>
      <c r="G7" s="5" t="s">
        <v>54</v>
      </c>
      <c r="H7" s="5" t="s">
        <v>55</v>
      </c>
      <c r="I7" s="11" t="s">
        <v>56</v>
      </c>
      <c r="J7" s="5" t="s">
        <v>96</v>
      </c>
    </row>
    <row r="8" spans="1:10" s="13" customFormat="1" ht="81" x14ac:dyDescent="0.45">
      <c r="A8" s="5">
        <f t="shared" si="0"/>
        <v>7</v>
      </c>
      <c r="B8" s="5" t="s">
        <v>85</v>
      </c>
      <c r="C8" s="5" t="s">
        <v>57</v>
      </c>
      <c r="D8" s="5" t="s">
        <v>58</v>
      </c>
      <c r="E8" s="5" t="s">
        <v>59</v>
      </c>
      <c r="F8" s="5" t="s">
        <v>60</v>
      </c>
      <c r="G8" s="5" t="s">
        <v>61</v>
      </c>
      <c r="H8" s="5" t="s">
        <v>62</v>
      </c>
      <c r="I8" s="11" t="s">
        <v>63</v>
      </c>
      <c r="J8" s="5" t="s">
        <v>96</v>
      </c>
    </row>
    <row r="9" spans="1:10" s="13" customFormat="1" ht="194.4" x14ac:dyDescent="0.45">
      <c r="A9" s="5">
        <f t="shared" si="0"/>
        <v>8</v>
      </c>
      <c r="B9" s="5" t="s">
        <v>64</v>
      </c>
      <c r="C9" s="5" t="s">
        <v>43</v>
      </c>
      <c r="D9" s="5" t="s">
        <v>65</v>
      </c>
      <c r="E9" s="5" t="s">
        <v>66</v>
      </c>
      <c r="F9" s="5" t="s">
        <v>67</v>
      </c>
      <c r="G9" s="5" t="s">
        <v>68</v>
      </c>
      <c r="H9" s="5" t="s">
        <v>69</v>
      </c>
      <c r="I9" s="11" t="s">
        <v>70</v>
      </c>
      <c r="J9" s="5" t="s">
        <v>96</v>
      </c>
    </row>
    <row r="10" spans="1:10" s="13" customFormat="1" ht="129.6" x14ac:dyDescent="0.45">
      <c r="A10" s="5">
        <v>9</v>
      </c>
      <c r="B10" s="5" t="s">
        <v>71</v>
      </c>
      <c r="C10" s="5" t="s">
        <v>57</v>
      </c>
      <c r="D10" s="5" t="s">
        <v>72</v>
      </c>
      <c r="E10" s="5" t="s">
        <v>73</v>
      </c>
      <c r="F10" s="5" t="s">
        <v>74</v>
      </c>
      <c r="G10" s="5" t="s">
        <v>75</v>
      </c>
      <c r="H10" s="5" t="s">
        <v>76</v>
      </c>
      <c r="I10" s="11" t="s">
        <v>77</v>
      </c>
      <c r="J10" s="5" t="s">
        <v>94</v>
      </c>
    </row>
    <row r="11" spans="1:10" s="13" customFormat="1" ht="129.6" x14ac:dyDescent="0.45">
      <c r="A11" s="5">
        <v>10</v>
      </c>
      <c r="B11" s="5" t="s">
        <v>78</v>
      </c>
      <c r="C11" s="5" t="s">
        <v>43</v>
      </c>
      <c r="D11" s="5" t="s">
        <v>79</v>
      </c>
      <c r="E11" s="5" t="s">
        <v>80</v>
      </c>
      <c r="F11" s="5" t="s">
        <v>81</v>
      </c>
      <c r="G11" s="5" t="s">
        <v>82</v>
      </c>
      <c r="H11" s="5" t="s">
        <v>83</v>
      </c>
      <c r="I11" s="11" t="s">
        <v>84</v>
      </c>
      <c r="J11" s="5" t="s">
        <v>94</v>
      </c>
    </row>
    <row r="12" spans="1:10" s="13" customFormat="1" ht="32.4" x14ac:dyDescent="0.45">
      <c r="A12" s="5">
        <v>11</v>
      </c>
      <c r="B12" s="5" t="s">
        <v>86</v>
      </c>
      <c r="C12" s="5" t="s">
        <v>43</v>
      </c>
      <c r="D12" s="5" t="s">
        <v>87</v>
      </c>
      <c r="E12" s="5" t="s">
        <v>88</v>
      </c>
      <c r="F12" s="5" t="s">
        <v>89</v>
      </c>
      <c r="G12" s="5" t="s">
        <v>90</v>
      </c>
      <c r="H12" s="5" t="s">
        <v>91</v>
      </c>
      <c r="I12" s="11" t="s">
        <v>92</v>
      </c>
      <c r="J12" s="5" t="s">
        <v>93</v>
      </c>
    </row>
    <row r="13" spans="1:10" s="9" customFormat="1" ht="409.6" x14ac:dyDescent="0.4">
      <c r="A13" s="5">
        <f t="shared" ref="A13" si="1">ROW() - ROW($A$2) + 1</f>
        <v>12</v>
      </c>
      <c r="B13" s="5" t="s">
        <v>36</v>
      </c>
      <c r="C13" s="5" t="s">
        <v>43</v>
      </c>
      <c r="D13" s="5" t="s">
        <v>37</v>
      </c>
      <c r="E13" s="5" t="s">
        <v>38</v>
      </c>
      <c r="F13" s="5" t="s">
        <v>99</v>
      </c>
      <c r="G13" s="5" t="s">
        <v>100</v>
      </c>
      <c r="H13" s="5" t="s">
        <v>101</v>
      </c>
      <c r="I13" s="11" t="s">
        <v>39</v>
      </c>
      <c r="J13" s="5" t="s">
        <v>94</v>
      </c>
    </row>
    <row r="14" spans="1:10" s="9" customFormat="1" ht="194.4" x14ac:dyDescent="0.4">
      <c r="A14" s="5">
        <v>13</v>
      </c>
      <c r="B14" s="5" t="s">
        <v>115</v>
      </c>
      <c r="C14" s="5" t="s">
        <v>57</v>
      </c>
      <c r="D14" s="5" t="s">
        <v>116</v>
      </c>
      <c r="E14" s="5" t="s">
        <v>117</v>
      </c>
      <c r="F14" s="5" t="s">
        <v>118</v>
      </c>
      <c r="G14" s="5" t="s">
        <v>119</v>
      </c>
      <c r="H14" s="5" t="s">
        <v>120</v>
      </c>
      <c r="I14" s="11" t="s">
        <v>121</v>
      </c>
      <c r="J14" s="5" t="s">
        <v>93</v>
      </c>
    </row>
    <row r="15" spans="1:10" s="13" customFormat="1" ht="194.4" x14ac:dyDescent="0.45">
      <c r="A15" s="5">
        <v>14</v>
      </c>
      <c r="B15" s="5" t="s">
        <v>102</v>
      </c>
      <c r="C15" s="5" t="s">
        <v>57</v>
      </c>
      <c r="D15" s="5" t="s">
        <v>103</v>
      </c>
      <c r="E15" s="5" t="s">
        <v>104</v>
      </c>
      <c r="F15" s="5" t="s">
        <v>105</v>
      </c>
      <c r="G15" s="5" t="s">
        <v>106</v>
      </c>
      <c r="H15" s="5" t="s">
        <v>107</v>
      </c>
      <c r="I15" s="11" t="s">
        <v>108</v>
      </c>
      <c r="J15" s="5" t="s">
        <v>94</v>
      </c>
    </row>
    <row r="16" spans="1:10" s="13" customFormat="1" ht="356.4" x14ac:dyDescent="0.45">
      <c r="A16" s="5">
        <v>15</v>
      </c>
      <c r="B16" s="5" t="s">
        <v>109</v>
      </c>
      <c r="C16" s="5" t="s">
        <v>14</v>
      </c>
      <c r="D16" s="5" t="s">
        <v>110</v>
      </c>
      <c r="E16" s="5" t="s">
        <v>56</v>
      </c>
      <c r="F16" s="5" t="s">
        <v>111</v>
      </c>
      <c r="G16" s="5" t="s">
        <v>112</v>
      </c>
      <c r="H16" s="5" t="s">
        <v>113</v>
      </c>
      <c r="I16" s="11" t="s">
        <v>114</v>
      </c>
      <c r="J16" s="5" t="s">
        <v>96</v>
      </c>
    </row>
    <row r="17" spans="1:10" s="13" customFormat="1" ht="340.2" x14ac:dyDescent="0.45">
      <c r="A17" s="5">
        <v>16</v>
      </c>
      <c r="B17" s="5" t="s">
        <v>122</v>
      </c>
      <c r="C17" s="5" t="s">
        <v>43</v>
      </c>
      <c r="D17" s="5" t="s">
        <v>123</v>
      </c>
      <c r="E17" s="5" t="s">
        <v>124</v>
      </c>
      <c r="F17" s="5" t="s">
        <v>125</v>
      </c>
      <c r="G17" s="5" t="s">
        <v>126</v>
      </c>
      <c r="H17" s="5" t="s">
        <v>127</v>
      </c>
      <c r="I17" s="11" t="s">
        <v>128</v>
      </c>
      <c r="J17" s="5" t="s">
        <v>96</v>
      </c>
    </row>
    <row r="18" spans="1:10" s="13" customFormat="1" ht="409.6" x14ac:dyDescent="0.45">
      <c r="A18" s="5">
        <v>17</v>
      </c>
      <c r="B18" s="5" t="s">
        <v>129</v>
      </c>
      <c r="C18" s="5" t="s">
        <v>57</v>
      </c>
      <c r="D18" s="5" t="s">
        <v>130</v>
      </c>
      <c r="E18" s="5" t="s">
        <v>131</v>
      </c>
      <c r="F18" s="5" t="s">
        <v>132</v>
      </c>
      <c r="G18" s="5" t="s">
        <v>133</v>
      </c>
      <c r="H18" s="5" t="s">
        <v>134</v>
      </c>
      <c r="I18" s="11" t="s">
        <v>135</v>
      </c>
      <c r="J18" s="5" t="s">
        <v>96</v>
      </c>
    </row>
    <row r="19" spans="1:10" ht="129.6" x14ac:dyDescent="0.4">
      <c r="A19" s="4">
        <v>18</v>
      </c>
      <c r="B19" s="4" t="s">
        <v>136</v>
      </c>
      <c r="C19" s="5" t="s">
        <v>43</v>
      </c>
      <c r="D19" s="5" t="s">
        <v>138</v>
      </c>
      <c r="E19" s="5" t="s">
        <v>140</v>
      </c>
      <c r="F19" s="5" t="s">
        <v>142</v>
      </c>
      <c r="G19" s="5" t="s">
        <v>144</v>
      </c>
      <c r="H19" s="5" t="s">
        <v>145</v>
      </c>
      <c r="I19" s="11" t="s">
        <v>146</v>
      </c>
      <c r="J19" s="5" t="s">
        <v>96</v>
      </c>
    </row>
    <row r="20" spans="1:10" ht="388.8" x14ac:dyDescent="0.4">
      <c r="A20" s="4">
        <v>19</v>
      </c>
      <c r="B20" s="4" t="s">
        <v>137</v>
      </c>
      <c r="C20" s="5" t="s">
        <v>43</v>
      </c>
      <c r="D20" s="5" t="s">
        <v>139</v>
      </c>
      <c r="E20" s="5" t="s">
        <v>141</v>
      </c>
      <c r="F20" s="5" t="s">
        <v>143</v>
      </c>
      <c r="G20" s="5" t="s">
        <v>147</v>
      </c>
      <c r="H20" s="5" t="s">
        <v>148</v>
      </c>
      <c r="I20" s="11" t="s">
        <v>149</v>
      </c>
      <c r="J20" s="5" t="s">
        <v>96</v>
      </c>
    </row>
    <row r="21" spans="1:10" x14ac:dyDescent="0.4">
      <c r="A21" s="8"/>
      <c r="B21" s="8"/>
      <c r="C21" s="8"/>
      <c r="D21" s="8"/>
      <c r="E21" s="8"/>
      <c r="F21" s="8"/>
      <c r="G21" s="8"/>
      <c r="H21" s="8"/>
      <c r="I21" s="12"/>
    </row>
    <row r="22" spans="1:10" x14ac:dyDescent="0.4">
      <c r="A22" s="8"/>
      <c r="B22" s="8"/>
      <c r="C22" s="8"/>
      <c r="D22" s="8"/>
      <c r="E22" s="8"/>
      <c r="F22" s="8"/>
      <c r="G22" s="8"/>
      <c r="H22" s="8"/>
      <c r="I22" s="12"/>
    </row>
    <row r="23" spans="1:10" x14ac:dyDescent="0.4">
      <c r="A23" s="8"/>
      <c r="B23" s="8"/>
      <c r="C23" s="8"/>
      <c r="D23" s="8"/>
      <c r="E23" s="8"/>
      <c r="F23" s="8"/>
      <c r="G23" s="8"/>
      <c r="H23" s="8"/>
      <c r="I23" s="12"/>
    </row>
    <row r="24" spans="1:10" x14ac:dyDescent="0.4">
      <c r="A24" s="8"/>
      <c r="B24" s="8"/>
      <c r="C24" s="8"/>
      <c r="D24" s="8"/>
      <c r="E24" s="8"/>
      <c r="F24" s="8"/>
      <c r="G24" s="8"/>
      <c r="H24" s="8"/>
      <c r="I24" s="12"/>
    </row>
    <row r="25" spans="1:10" x14ac:dyDescent="0.4">
      <c r="A25" s="8"/>
      <c r="B25" s="8"/>
      <c r="C25" s="8"/>
      <c r="D25" s="8"/>
      <c r="E25" s="8"/>
      <c r="F25" s="8"/>
      <c r="G25" s="8"/>
      <c r="H25" s="8"/>
      <c r="I25" s="12"/>
    </row>
    <row r="26" spans="1:10" x14ac:dyDescent="0.4">
      <c r="A26" s="8"/>
      <c r="B26" s="8"/>
      <c r="C26" s="8"/>
      <c r="D26" s="8"/>
      <c r="E26" s="8"/>
      <c r="F26" s="8"/>
      <c r="G26" s="8"/>
      <c r="H26" s="8"/>
      <c r="I26" s="12"/>
    </row>
    <row r="27" spans="1:10" x14ac:dyDescent="0.4">
      <c r="A27" s="8"/>
      <c r="B27" s="8"/>
      <c r="C27" s="8"/>
      <c r="D27" s="8"/>
      <c r="E27" s="8"/>
      <c r="F27" s="8"/>
      <c r="G27" s="8"/>
      <c r="H27" s="8"/>
      <c r="I27" s="12"/>
    </row>
    <row r="28" spans="1:10" x14ac:dyDescent="0.4">
      <c r="A28" s="8"/>
      <c r="B28" s="8"/>
      <c r="C28" s="8"/>
      <c r="D28" s="8"/>
      <c r="E28" s="8"/>
      <c r="F28" s="8"/>
      <c r="G28" s="8"/>
      <c r="H28" s="8"/>
      <c r="I28" s="12"/>
    </row>
    <row r="29" spans="1:10" x14ac:dyDescent="0.4">
      <c r="A29" s="8"/>
      <c r="B29" s="8"/>
      <c r="C29" s="8"/>
      <c r="D29" s="8"/>
      <c r="E29" s="8"/>
      <c r="F29" s="8"/>
      <c r="G29" s="8"/>
      <c r="H29" s="8"/>
      <c r="I29" s="12"/>
    </row>
    <row r="30" spans="1:10" x14ac:dyDescent="0.4">
      <c r="A30" s="8"/>
      <c r="B30" s="8"/>
      <c r="C30" s="8"/>
      <c r="D30" s="8"/>
      <c r="E30" s="8"/>
      <c r="F30" s="8"/>
      <c r="G30" s="8"/>
      <c r="H30" s="8"/>
      <c r="I30" s="12"/>
    </row>
    <row r="31" spans="1:10" x14ac:dyDescent="0.4">
      <c r="A31" s="8"/>
      <c r="B31" s="8"/>
      <c r="C31" s="8"/>
      <c r="D31" s="8"/>
      <c r="E31" s="8"/>
      <c r="F31" s="8"/>
      <c r="G31" s="8"/>
      <c r="H31" s="8"/>
      <c r="I31" s="12"/>
    </row>
    <row r="32" spans="1:10" x14ac:dyDescent="0.4">
      <c r="A32" s="8"/>
      <c r="B32" s="8"/>
      <c r="C32" s="8"/>
      <c r="D32" s="8"/>
      <c r="E32" s="8"/>
      <c r="F32" s="8"/>
      <c r="G32" s="8"/>
      <c r="H32" s="8"/>
      <c r="I32" s="12"/>
    </row>
    <row r="33" spans="1:9" x14ac:dyDescent="0.4">
      <c r="A33" s="8"/>
      <c r="B33" s="8"/>
      <c r="C33" s="8"/>
      <c r="D33" s="8"/>
      <c r="E33" s="8"/>
      <c r="F33" s="8"/>
      <c r="G33" s="8"/>
      <c r="H33" s="8"/>
      <c r="I33" s="12"/>
    </row>
    <row r="34" spans="1:9" x14ac:dyDescent="0.4">
      <c r="A34" s="8"/>
      <c r="B34" s="8"/>
      <c r="C34" s="8"/>
      <c r="D34" s="8"/>
      <c r="E34" s="8"/>
      <c r="F34" s="8"/>
      <c r="G34" s="8"/>
      <c r="H34" s="8"/>
      <c r="I34" s="12"/>
    </row>
    <row r="35" spans="1:9" x14ac:dyDescent="0.4">
      <c r="A35" s="8"/>
      <c r="B35" s="8"/>
      <c r="C35" s="8"/>
      <c r="D35" s="8"/>
      <c r="E35" s="8"/>
      <c r="F35" s="8"/>
      <c r="G35" s="8"/>
      <c r="H35" s="8"/>
      <c r="I35" s="12"/>
    </row>
    <row r="36" spans="1:9" x14ac:dyDescent="0.4">
      <c r="A36" s="8"/>
      <c r="B36" s="8"/>
      <c r="C36" s="8"/>
      <c r="D36" s="8"/>
      <c r="E36" s="8"/>
      <c r="F36" s="8"/>
      <c r="G36" s="8"/>
      <c r="H36" s="8"/>
      <c r="I36" s="12"/>
    </row>
    <row r="37" spans="1:9" x14ac:dyDescent="0.4">
      <c r="A37" s="8"/>
      <c r="B37" s="8"/>
      <c r="C37" s="8"/>
      <c r="D37" s="8"/>
      <c r="E37" s="8"/>
      <c r="F37" s="8"/>
      <c r="G37" s="8"/>
      <c r="H37" s="8"/>
      <c r="I37" s="12"/>
    </row>
    <row r="38" spans="1:9" x14ac:dyDescent="0.4">
      <c r="A38" s="8"/>
      <c r="B38" s="8"/>
      <c r="C38" s="8"/>
      <c r="D38" s="8"/>
      <c r="E38" s="8"/>
      <c r="F38" s="8"/>
      <c r="G38" s="8"/>
      <c r="H38" s="8"/>
      <c r="I38" s="12"/>
    </row>
    <row r="39" spans="1:9" x14ac:dyDescent="0.4">
      <c r="A39" s="8"/>
      <c r="B39" s="8"/>
      <c r="C39" s="8"/>
      <c r="D39" s="8"/>
      <c r="E39" s="8"/>
      <c r="F39" s="8"/>
      <c r="G39" s="8"/>
      <c r="H39" s="8"/>
      <c r="I39" s="12"/>
    </row>
  </sheetData>
  <autoFilter ref="A1:J1" xr:uid="{00000000-0001-0000-0000-000000000000}"/>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8B8711E148114C8FCBC34FE425DBD3" ma:contentTypeVersion="14" ma:contentTypeDescription="Create a new document." ma:contentTypeScope="" ma:versionID="1dfc7129cf24913fc10783aac6ac7d82">
  <xsd:schema xmlns:xsd="http://www.w3.org/2001/XMLSchema" xmlns:xs="http://www.w3.org/2001/XMLSchema" xmlns:p="http://schemas.microsoft.com/office/2006/metadata/properties" xmlns:ns2="1c96fc65-d7b8-48dd-9e11-40314d3e8dd3" targetNamespace="http://schemas.microsoft.com/office/2006/metadata/properties" ma:root="true" ma:fieldsID="efa5ce2ed45ee22b1debefd59beaae8a" ns2:_="">
    <xsd:import namespace="1c96fc65-d7b8-48dd-9e11-40314d3e8d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96fc65-d7b8-48dd-9e11-40314d3e8d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c96fc65-d7b8-48dd-9e11-40314d3e8d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078E4DB-CF30-4DCC-9833-C7777D70EB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96fc65-d7b8-48dd-9e11-40314d3e8d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5395BF-0529-471B-A9D2-2CFF34265CA6}">
  <ds:schemaRefs>
    <ds:schemaRef ds:uri="http://schemas.microsoft.com/sharepoint/v3/contenttype/forms"/>
  </ds:schemaRefs>
</ds:datastoreItem>
</file>

<file path=customXml/itemProps3.xml><?xml version="1.0" encoding="utf-8"?>
<ds:datastoreItem xmlns:ds="http://schemas.openxmlformats.org/officeDocument/2006/customXml" ds:itemID="{4CDD6A3A-548D-4D7E-A040-31F91EC1A585}">
  <ds:schemaRefs>
    <ds:schemaRef ds:uri="http://schemas.microsoft.com/office/2006/metadata/properties"/>
    <ds:schemaRef ds:uri="http://schemas.microsoft.com/office/infopath/2007/PartnerControls"/>
    <ds:schemaRef ds:uri="1c96fc65-d7b8-48dd-9e11-40314d3e8d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参加者リスト(-0731)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Eren Yamaguchi</dc:creator>
  <cp:lastModifiedBy>Kohei Yamasaki (JP)</cp:lastModifiedBy>
  <dcterms:created xsi:type="dcterms:W3CDTF">2015-06-05T18:17:20Z</dcterms:created>
  <dcterms:modified xsi:type="dcterms:W3CDTF">2026-07-31T03:48:19Z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0x010100958B8711E148114C8FCBC34FE425DBD3</vt:lpwstr>
  </property>
  <property fmtid="{D5CDD505-2E9C-101B-9397-08002B2CF9AE}" pid="3" name="MediaServiceImageTags">
    <vt:lpwstr/>
  </property>
</Properties>
</file>