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021d0d89fe4b30" /></Relationships>
</file>

<file path=xl/workbook.xml><?xml version="1.0" encoding="utf-8"?>
<x:workbook xmlns:x="http://schemas.openxmlformats.org/spreadsheetml/2006/main">
  <x:sheets>
    <x:sheet xmlns:r="http://schemas.openxmlformats.org/officeDocument/2006/relationships" name="応募項目一覧" sheetId="1" r:id="R6aee9a8cc35b44e0"/>
    <x:sheet xmlns:r="http://schemas.openxmlformats.org/officeDocument/2006/relationships" name="提出用回答案" sheetId="2" r:id="R9a3920d9af18462a"/>
    <x:sheet xmlns:r="http://schemas.openxmlformats.org/officeDocument/2006/relationships" name="代替案・確認事項" sheetId="3" r:id="R96af95578c8546ba"/>
    <x:sheet xmlns:r="http://schemas.openxmlformats.org/officeDocument/2006/relationships" name="出典・根拠" sheetId="4" r:id="Rdcac8560190149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sz val="10"/>
      <x:color rgb="FF595959"/>
      <x:name val="Carlito"/>
    </x:font>
    <x:font>
      <x:b/>
      <x:sz val="11"/>
      <x:color rgb="FFFFFFFF"/>
      <x:name val="Carlito"/>
    </x:font>
    <x:font>
      <x:sz val="10"/>
      <x:color rgb="FF1F1F1F"/>
      <x:name val="Carlito"/>
    </x:font>
    <x:font>
      <x:b/>
      <x:sz val="10"/>
      <x:color rgb="FF17365D"/>
      <x:name val="Carlito"/>
    </x:font>
    <x:font>
      <x:b/>
      <x:sz val="11"/>
      <x:color rgb="FF7F6000"/>
      <x:name val="Carlito"/>
    </x:font>
    <x:font>
      <x:b/>
      <x:sz val="12"/>
      <x:color rgb="FF17365D"/>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F2F2F2"/>
      </x:patternFill>
    </x:fill>
    <x:fill>
      <x:patternFill patternType="solid">
        <x:fgColor rgb="FFF8FBFE"/>
      </x:patternFill>
    </x:fill>
  </x:fills>
  <x:borders count="7">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4"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7" fillId="0" borderId="2"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200" fontId="5" fillId="6" borderId="2" xfId="0" applyNumberFormat="1" applyFont="1" applyFill="1" applyBorder="1" applyAlignment="1">
      <x:alignment vertical="top" wrapText="1"/>
    </x:xf>
    <x:xf numFmtId="200" fontId="5" fillId="6" borderId="3" xfId="0" applyNumberFormat="1" applyFont="1" applyFill="1" applyBorder="1" applyAlignment="1">
      <x:alignment vertical="top" wrapText="1"/>
    </x:xf>
    <x:xf numFmtId="200" fontId="5" fillId="6" borderId="2" xfId="0" applyNumberFormat="1" applyFont="1" applyFill="1" applyBorder="1" applyAlignment="1">
      <x:alignment horizontal="center" vertical="top" wrapText="1"/>
    </x:xf>
    <x:xf numFmtId="200" fontId="5" fillId="6" borderId="3" xfId="0" applyNumberFormat="1" applyFont="1" applyFill="1" applyBorder="1" applyAlignment="1">
      <x:alignment horizontal="center"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cellXfs>
  <x:cellStyles count="1">
    <x:cellStyle name="Normal" xfId="0"/>
  </x:cellStyles>
  <x:dxfs count="4">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fd4b6132fa498c" /><Relationship Type="http://schemas.openxmlformats.org/officeDocument/2006/relationships/theme" Target="/xl/theme/theme1.xml" Id="R4a1b50d9f1304150" /><Relationship Type="http://schemas.openxmlformats.org/officeDocument/2006/relationships/sharedStrings" Target="/xl/sharedStrings.xml" Id="Rf16018453e584139" /><Relationship Type="http://schemas.openxmlformats.org/officeDocument/2006/relationships/worksheet" Target="/xl/worksheets/sheet1.xml" Id="R6aee9a8cc35b44e0" /><Relationship Type="http://schemas.openxmlformats.org/officeDocument/2006/relationships/worksheet" Target="/xl/worksheets/sheet2.xml" Id="R9a3920d9af18462a" /><Relationship Type="http://schemas.openxmlformats.org/officeDocument/2006/relationships/worksheet" Target="/xl/worksheets/sheet3.xml" Id="R96af95578c8546ba" /><Relationship Type="http://schemas.openxmlformats.org/officeDocument/2006/relationships/worksheet" Target="/xl/worksheets/sheet4.xml" Id="Rdcac8560190149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10" hidden="0" customWidth="1"/>
    <x:col min="4" max="4" width="19" hidden="0" customWidth="1"/>
    <x:col min="5" max="5" width="52" hidden="0" customWidth="1"/>
    <x:col min="6" max="6" width="49" hidden="0" customWidth="1"/>
    <x:col min="7" max="7" width="34" hidden="0" customWidth="1"/>
  </x:cols>
  <x:sheetData>
    <x:row r="1" ht="30" customHeight="1">
      <x:c r="A1" s="3" t="str">
        <x:v>NEDO Challenge マッチングプログラム｜応募項目一覧</x:v>
      </x:c>
      <x:c r="B1" s="3"/>
      <x:c r="C1" s="3"/>
      <x:c r="D1" s="3"/>
      <x:c r="E1" s="3"/>
      <x:c r="F1" s="3"/>
      <x:c r="G1" s="3"/>
    </x:row>
    <x:row r="2" ht="38" customHeight="1">
      <x:c r="A2" s="7" t="str">
        <x:v>2枚の応募フォーム画面から項目7〜13を転記。参加者情報は他のマッチングプログラム参加者に共有されるため、機密情報を含めない前提で整理しています。</x:v>
      </x:c>
      <x:c r="B2" s="7"/>
      <x:c r="C2" s="7"/>
      <x:c r="D2" s="7"/>
      <x:c r="E2" s="7"/>
      <x:c r="F2" s="7"/>
      <x:c r="G2" s="7"/>
    </x:row>
    <x:row r="4">
      <x:c r="A4" s="13" t="str">
        <x:v>No.</x:v>
      </x:c>
      <x:c r="B4" s="13" t="str">
        <x:v>項目名</x:v>
      </x:c>
      <x:c r="C4" s="13" t="str">
        <x:v>必須</x:v>
      </x:c>
      <x:c r="D4" s="13" t="str">
        <x:v>入力形式</x:v>
      </x:c>
      <x:c r="E4" s="13" t="str">
        <x:v>フォーム上の指示・記載観点</x:v>
      </x:c>
      <x:c r="F4" s="13" t="str">
        <x:v>推奨する記載方針</x:v>
      </x:c>
      <x:c r="G4" s="13" t="str">
        <x:v>注意点</x:v>
      </x:c>
    </x:row>
    <x:row r="5" ht="92" customHeight="1">
      <x:c r="A5" s="23" t="n">
        <x:v>7</x:v>
      </x:c>
      <x:c r="B5" s="21" t="str">
        <x:v>データ利活用に関する知見（技術シーズ）</x:v>
      </x:c>
      <x:c r="C5" s="21" t="str">
        <x:v>任意</x:v>
      </x:c>
      <x:c r="D5" s="21" t="str">
        <x:v>長文テキスト</x:v>
      </x:c>
      <x:c r="E5" s="19" t="str">
        <x:v>衛星データをはじめとしたデータ利活用に関する経験、知見、R&amp;Dプロジェクトへの参加履歴等。課題・ニーズ保有者を探している場合は出来るだけ記載。</x:v>
      </x:c>
      <x:c r="F5" s="19" t="str">
        <x:v>衛星解析そのものの実績は限定的であることを率直に示しつつ、多様な時空間データを予測・シミュレーション・最適化へ接続する実装力を主軸にする。</x:v>
      </x:c>
      <x:c r="G5" s="19" t="str">
        <x:v>衛星データの直接実績を過大に表現しない。</x:v>
      </x:c>
    </x:row>
    <x:row r="6" ht="92" customHeight="1">
      <x:c r="A6" s="24" t="n">
        <x:v>8</x:v>
      </x:c>
      <x:c r="B6" s="22" t="str">
        <x:v>社会インフラ分野に関する知見（課題・ニーズ）</x:v>
      </x:c>
      <x:c r="C6" s="22" t="str">
        <x:v>任意</x:v>
      </x:c>
      <x:c r="D6" s="22" t="str">
        <x:v>長文テキスト</x:v>
      </x:c>
      <x:c r="E6" s="20" t="str">
        <x:v>社会インフラ分野の課題領域に関する経験、知見、R&amp;Dプロジェクトへの参加履歴等。技術シーズ保有者を探している場合は出来るだけ記載。</x:v>
      </x:c>
      <x:c r="F6" s="20" t="str">
        <x:v>物流・海運・港湾・電力・建設・建物設備での計画最適化実績と、現場共通課題（属人化、複雑制約、再計画、脱炭素）を具体化する。</x:v>
      </x:c>
      <x:c r="G6" s="20" t="str">
        <x:v>実績値は会社紹介資料に記載のある範囲に限定。</x:v>
      </x:c>
    </x:row>
    <x:row r="7" ht="92" customHeight="1">
      <x:c r="A7" s="24" t="n">
        <x:v>9</x:v>
      </x:c>
      <x:c r="B7" s="22" t="str">
        <x:v>自身に対する自由記述</x:v>
      </x:c>
      <x:c r="C7" s="22" t="str">
        <x:v>任意</x:v>
      </x:c>
      <x:c r="D7" s="22" t="str">
        <x:v>長文テキスト</x:v>
      </x:c>
      <x:c r="E7" s="20" t="str">
        <x:v>他参加者に対し、自身または自チームの能力、環境、熱意等を自由記述。共同研究相手にとってのメリット、研究環境、提供技術、提供出来るデータ、研究環境等にも言及。</x:v>
      </x:c>
      <x:c r="F7" s="20" t="str">
        <x:v>「データを業務意思決定へ変換する力」、研究開発力、社会実装・運用定着までの遂行力を、相手のメリットとして記載する。</x:v>
      </x:c>
      <x:c r="G7" s="20" t="str">
        <x:v>公開情報として通用する表現にする。</x:v>
      </x:c>
    </x:row>
    <x:row r="8" ht="92" customHeight="1">
      <x:c r="A8" s="24" t="n">
        <x:v>10</x:v>
      </x:c>
      <x:c r="B8" s="22" t="str">
        <x:v>事業化や共同研究に向けて取り組みたいこと</x:v>
      </x:c>
      <x:c r="C8" s="22" t="str">
        <x:v>任意</x:v>
      </x:c>
      <x:c r="D8" s="22" t="str">
        <x:v>長文テキスト</x:v>
      </x:c>
      <x:c r="E8" s="20" t="str">
        <x:v>今回のマッチングプログラムを通じ、事業化や共同研究に向けて一緒に取り組みたいアイデアを自由記述。研究の意義・社会インパクトにも触れることを推奨。</x:v>
      </x:c>
      <x:c r="F8" s="20" t="str">
        <x:v>マッチング先とチームを組成し、災害時の道路・港湾の利用可否把握と、陸海複合輸送・復旧資源配分の動的最適化を本コンテストへ共同提案する。</x:v>
      </x:c>
      <x:c r="G8" s="20" t="str">
        <x:v>検知だけで終わらず、運用計画・意思決定までつなげる。</x:v>
      </x:c>
    </x:row>
    <x:row r="9" ht="92" customHeight="1">
      <x:c r="A9" s="24" t="n">
        <x:v>11</x:v>
      </x:c>
      <x:c r="B9" s="22" t="str">
        <x:v>希望するマッチング先</x:v>
      </x:c>
      <x:c r="C9" s="22" t="str">
        <x:v>必須</x:v>
      </x:c>
      <x:c r="D9" s="22" t="str">
        <x:v>長文テキスト</x:v>
      </x:c>
      <x:c r="E9" s="20" t="str">
        <x:v>希望するマッチング先の専門性やサポートを自由記述。必須要件と希望要件を分けるなど、要望の重要性も必要に応じ記載。</x:v>
      </x:c>
      <x:c r="F9" s="20" t="str">
        <x:v>共同応募の意思を前提に、衛星解析、現場・データ、GIS／データ連携の専門性、応募期限までの役割分担・体制検討へのコミットメントを明記する。</x:v>
      </x:c>
      <x:c r="G9" s="20" t="str">
        <x:v>相手が自社の適合性を判断できる具体度にする。</x:v>
      </x:c>
    </x:row>
    <x:row r="10" ht="92" customHeight="1">
      <x:c r="A10" s="24" t="n">
        <x:v>12</x:v>
      </x:c>
      <x:c r="B10" s="22" t="str">
        <x:v>懸念事項・共有事項等</x:v>
      </x:c>
      <x:c r="C10" s="22" t="str">
        <x:v>任意</x:v>
      </x:c>
      <x:c r="D10" s="22" t="str">
        <x:v>長文テキスト</x:v>
      </x:c>
      <x:c r="E10" s="20" t="str">
        <x:v>マッチング先に事前に知っておいてもらいたいことや、連携等に向けて懸念されている点。</x:v>
      </x:c>
      <x:c r="F10" s="20" t="str">
        <x:v>共同応募前に、代表者・応募書類分担・一次審査通過後の体制・費用、NDA、データ管理、知財、成果公表、社内承認を整理する。</x:v>
      </x:c>
      <x:c r="G10" s="20" t="str">
        <x:v>要求が強すぎる印象を避け、協議可能性を残す。</x:v>
      </x:c>
    </x:row>
    <x:row r="11" ht="92" customHeight="1">
      <x:c r="A11" s="24" t="n">
        <x:v>13</x:v>
      </x:c>
      <x:c r="B11" s="22" t="str">
        <x:v>関心のあるテーマ</x:v>
      </x:c>
      <x:c r="C11" s="22" t="str">
        <x:v>必須</x:v>
      </x:c>
      <x:c r="D11" s="22" t="str">
        <x:v>チェックボックス（複数回答可）</x:v>
      </x:c>
      <x:c r="E11" s="20" t="str">
        <x:v>①インフラマネジメント及び都市活動における課題解決に資する技術開発／②インフラに係る防災・災害対応における課題解決に資する技術開発。</x:v>
      </x:c>
      <x:c r="F11" s="20" t="str">
        <x:v>両方を選択。主提案との整合から②を第一優先、①を第二優先とする。</x:v>
      </x:c>
      <x:c r="G11" s="20" t="str">
        <x:v>フォームでは両方にチェック。</x:v>
      </x:c>
    </x:row>
    <x:row r="13" ht="58" customHeight="1">
      <x:c r="A13" s="33" t="str">
        <x:v>プログラム設計上の重要ポイント：本制度は、マッチング後に直接交渉し、チームを組成してNEDO Challengeへ応募することを主目的とし、その先の共同研究・事業化につなげるものです。回答では、共同提案の内容、各者の役割、応募期限までに決める事項、一次審査通過後の開発・評価体制まで示すと、相手が参加可否を判断しやすくなります。</x:v>
      </x:c>
      <x:c r="B13" s="34"/>
      <x:c r="C13" s="34"/>
      <x:c r="D13" s="34"/>
      <x:c r="E13" s="34"/>
      <x:c r="F13" s="34"/>
      <x:c r="G13" s="35"/>
    </x:row>
  </x:sheetData>
  <x:mergeCells>
    <x:mergeCell ref="A1:G1"/>
    <x:mergeCell ref="A2:G2"/>
    <x:mergeCell ref="A13:G13"/>
  </x:mergeCells>
  <x:conditionalFormatting sqref="C5:C11">
    <x:cfRule type="expression" dxfId="0" priority="1">
      <x:formula>C5="必須"</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10" hidden="0" customWidth="1"/>
    <x:col min="4" max="4" width="100" hidden="0" customWidth="1"/>
    <x:col min="5" max="5" width="11" hidden="0" customWidth="1"/>
    <x:col min="6" max="6" width="45" hidden="0" customWidth="1"/>
  </x:cols>
  <x:sheetData>
    <x:row r="1" ht="30" customHeight="1">
      <x:c r="A1" s="3" t="str">
        <x:v>提出用回答案（項目7〜13）</x:v>
      </x:c>
      <x:c r="B1" s="3"/>
      <x:c r="C1" s="3"/>
      <x:c r="D1" s="3"/>
      <x:c r="E1" s="3"/>
      <x:c r="F1" s="3"/>
    </x:row>
    <x:row r="2" ht="38" customHeight="1">
      <x:c r="A2" s="7" t="str">
        <x:v>そのままフォームへ転記できる推奨案です。黄色セルは提出前に社内確認を推奨します。文字数はExcel関数で自動計算します。</x:v>
      </x:c>
      <x:c r="B2" s="7"/>
      <x:c r="C2" s="7"/>
      <x:c r="D2" s="7"/>
      <x:c r="E2" s="7"/>
      <x:c r="F2" s="7"/>
    </x:row>
    <x:row r="4">
      <x:c r="A4" s="13" t="str">
        <x:v>No.</x:v>
      </x:c>
      <x:c r="B4" s="13" t="str">
        <x:v>項目</x:v>
      </x:c>
      <x:c r="C4" s="13" t="str">
        <x:v>必須</x:v>
      </x:c>
      <x:c r="D4" s="13" t="str">
        <x:v>推奨回答案</x:v>
      </x:c>
      <x:c r="E4" s="13" t="str">
        <x:v>文字数</x:v>
      </x:c>
      <x:c r="F4" s="13" t="str">
        <x:v>主な根拠・狙い</x:v>
      </x:c>
    </x:row>
    <x:row r="5" ht="235" customHeight="1">
      <x:c r="A5" s="36" t="n">
        <x:v>7</x:v>
      </x:c>
      <x:c r="B5" s="21" t="str">
        <x:v>データ利活用に関する知見（技術シーズ）</x:v>
      </x:c>
      <x:c r="C5" s="21" t="str">
        <x:v>任意</x:v>
      </x:c>
      <x:c r="D5" s="19" t="str">
        <x:v>当社は、AI・数理最適化・デジタルツインを用い、物流、海運、港湾、電力、製造等の社会インフラ領域において、需要、在庫、設備能力、気象、港湾条件、車両・船舶、人員等の多様なデータを統合し、予測・シミュレーション・最適な計画立案につなげるシステムを開発・運用してきました。衛星データそのものの解析・サービス提供実績は現時点では限定的ですが、時空間データや不確実性を業務上の制約・リスクシナリオへ変換し、実行可能な意思決定へ接続する技術と実装経験を有しています。今後は、SAR・光学衛星等から得られる地盤変位、浸水、道路閉塞、土地利用変化等の情報を、輸送・配船・復旧資源配分・点検計画の最適化に取り込みたいと考えています。衛星データの選定、前処理、変化検知・被害推定については専門性を持つパートナーと補完関係を構築し、解析結果を現場で使える計画・判断へつなげる役割を担いたいと考えています。</x:v>
      </x:c>
      <x:c r="E5" s="44" t="n">
        <x:f>LEN(D5)</x:f>
        <x:v>392</x:v>
      </x:c>
      <x:c r="F5" s="46" t="str">
        <x:v>会社紹介資料のAI計画最適化領域と実績を基礎に、衛星解析の直接実績は限定的であることを明示。誠実さと補完ニーズを両立。</x:v>
      </x:c>
    </x:row>
    <x:row r="6" ht="235" customHeight="1">
      <x:c r="A6" s="37" t="n">
        <x:v>8</x:v>
      </x:c>
      <x:c r="B6" s="22" t="str">
        <x:v>社会インフラ分野に関する知見（課題・ニーズ）</x:v>
      </x:c>
      <x:c r="C6" s="22" t="str">
        <x:v>任意</x:v>
      </x:c>
      <x:c r="D6" s="20" t="str">
        <x:v>当社は、電力、海運、陸上輸送、港湾ロジスティクス、建設、建物設備等の社会インフラ領域で、AIによる計画最適化・業務システム開発に取り組んできました。具体的には、需要・在庫・港湾制約・船舶性能・労働条件・天候等を考慮した配船計画、車両・ドライバー制約を踏まえた陸上輸送計画、バース・ヤード・荷役機器の運用計画、発電・需給計画、建設工程や空調熱源の最適化等です。これらの現場では、複雑な制約条件と膨大な組合せ、熟練者への依存、データの分散、状況変化のたびに発生する再計画、コスト・安定供給・労働負荷・CO2削減の同時達成が共通課題です。配船領域では、計画時間を約1/60に削減し運送効率を最大約20％向上した事例、数時間を要した計画を10分に短縮した事例、天候を考慮した自動リプランにより輸送コストを5％削減した事例があります。衛星データによる広域・継続的な状況把握をこうした計画業務へ組み込むことで、平時の予防保全と災害時の迅速な再計画を高度化できると考えています。</x:v>
      </x:c>
      <x:c r="E6" s="45" t="n">
        <x:f>LEN(D6)</x:f>
        <x:v>432</x:v>
      </x:c>
      <x:c r="F6" s="47" t="str">
        <x:v>配船・輸送・港湾・電力等の社会実装実績を提示し、衛星データ活用先となる現場課題へ接続。</x:v>
      </x:c>
    </x:row>
    <x:row r="7" ht="235" customHeight="1">
      <x:c r="A7" s="37" t="n">
        <x:v>9</x:v>
      </x:c>
      <x:c r="B7" s="22" t="str">
        <x:v>自身に対する自由記述</x:v>
      </x:c>
      <x:c r="C7" s="22" t="str">
        <x:v>任意</x:v>
      </x:c>
      <x:c r="D7" s="20" t="str">
        <x:v>株式会社グリッドは、AI技術を活用したサービス・業務アプリケーションの企画、設計、開発、運用を一気通貫で行う技術企業です。私たちの強みは、データを可視化するだけでなく、現場の複雑な制約やKPIを数理モデルとして表現し、実行可能な計画・意思決定に変換して業務定着まで伴走できる点にあります。社会インフラ分野の大手企業との多数の実装経験に加え、深層強化学習、確率最適化、量子・古典ハイブリッドアルゴリズム、デジタルツイン等の研究開発を進め、大学や事業会社との共同研究・産学連携にも取り組んできました。共同研究先には、衛星解析の成果を輸送、配船、点検、復旧計画等の業務KPIへ結び付けるモデル設計、最適化エンジン、シミュレーション環境、業務アプリケーション開発、実証設計・評価の知見を提供できます。異なる専門性を尊重し、非機密情報から仮説をすり合わせ、短期間のPoCで価値を検証し、コンテスト応募とその先の社会実装・事業化まで共に進めることを希望しています。</x:v>
      </x:c>
      <x:c r="E7" s="45" t="n">
        <x:f>LEN(D7)</x:f>
        <x:v>426</x:v>
      </x:c>
      <x:c r="F7" s="47" t="str">
        <x:v>会社紹介資料に加え、応募書類P.16〜18のAI・強化学習・量子最適化・産学連携実績を反映。</x:v>
      </x:c>
    </x:row>
    <x:row r="8" ht="235" customHeight="1">
      <x:c r="A8" s="37" t="n">
        <x:v>10</x:v>
      </x:c>
      <x:c r="B8" s="22" t="str">
        <x:v>事業化や共同研究に向けて取り組みたいこと</x:v>
      </x:c>
      <x:c r="C8" s="22" t="str">
        <x:v>任意</x:v>
      </x:c>
      <x:c r="D8" s="20" t="str">
        <x:v>本マッチングを通じてパートナーとチームを組成し、「衛星・地上データを用いた災害時のマルチモーダル輸送・インフラ復旧計画の動的最適化」をNEDO Challengeに共同提案したいと考えています。SAR・光学衛星等による浸水、土砂災害、地盤変位、道路閉塞、港湾周辺の変状等の解析結果を、PLATEAU、道路・港湾・交通情報、気象、車両・船舶・倉庫・人員等の地上データと統合します。その上で、道路・港湾の利用可否や処理能力の変化を制約条件として、緊急物資、復旧要員・機材、代替輸送ルート、陸海の輸送モード、拠点配置を動的に最適化し、複数シナリオを比較できる意思決定支援システムを構築します。当社は課題整理、数理モデル化、シミュレーション・最適化エンジン、業務アプリケーション開発を担い、マッチング先には衛星解析、現場データ、実証フィールド、現場評価のいずれかを担っていただく想定です。応募段階では対象地域・災害種別、利用データ、役割分担、評価指標、開発計画を共同で具体化し、一次審査通過後はプロトタイプを開発して過去災害データによる再現検証と現場評価を行います。衛星解析を検知・可視化で終わらせず、限られた輸送能力と復旧資源の具体的な配分判断へつなげ、対応時間の短縮、供給途絶の抑制、現場負荷の軽減を目指します。コンテスト後も、共同研究、実証拡大、サービス化へ継続して取り組みたいと考えています。</x:v>
      </x:c>
      <x:c r="E8" s="45" t="n">
        <x:f>LEN(D8)</x:f>
        <x:v>596</x:v>
      </x:c>
      <x:c r="F8" s="47" t="str">
        <x:v>本制度の目的に合わせ、マッチング先とのチーム組成とNEDO Challengeへの共同提案を冒頭で明示。応募時と一次審査通過後の進め方、各者の役割も具体化。</x:v>
      </x:c>
    </x:row>
    <x:row r="9" ht="235" customHeight="1">
      <x:c r="A9" s="37" t="n">
        <x:v>11</x:v>
      </x:c>
      <x:c r="B9" s="22" t="str">
        <x:v>希望するマッチング先</x:v>
      </x:c>
      <x:c r="C9" s="22" t="str">
        <x:v>必須</x:v>
      </x:c>
      <x:c r="D9" s="20" t="str">
        <x:v>【共同応募に関する必須要件】
・本マッチングを、NEDO Challengeへのチーム応募を具体化する機会と捉え、応募期限までに提案内容、応募体制、代表者、役割分担、開発・評価計画を協議できる方。
・以下の①または②の専門性・環境を提供できる大学、研究機関、企業、自治体・事業者の方。
①衛星データ技術：SARまたは光学衛星を用いた浸水・土砂災害・地盤変位・道路閉塞・構造物／周辺環境の変化検知に知見があり、解析結果の精度、不確実性、更新頻度を説明できること。
②現場・データ：道路、港湾、物流、自治体、防災、インフラ管理の実務知見を持ち、対象施設・地域の台帳、交通・運用実績、過去災害・対応記録、制約条件等を可能な範囲で共有し、実証フィールドまたは現場評価に協力できること。
【歓迎要件】
・PLATEAU、GIS、地上センサ、気象・交通データとの統合、被害推定、データAPI化に知見がある方。
・コンテスト後の共同研究・事業化も見据え、知財、データ利用条件、成果公表等を協議できる方。
【想定する役割と進め方】
当社は課題整理、数理モデル化、シミュレーション・最適化エンジン、業務アプリケーション、実証設計を担当します。マッチング先には衛星解析または現場知見・検証環境の提供を期待します。初期は週1回・60分程度のオンライン打合せと各者1名以上の担当者配置を目安に、応募期限までに共同提案の骨子と実施体制をまとめることを希望します。</x:v>
      </x:c>
      <x:c r="E9" s="45" t="n">
        <x:f>LEN(D9)</x:f>
        <x:v>620</x:v>
      </x:c>
      <x:c r="F9" s="47" t="str">
        <x:v>専門性だけでなく、共同応募の意思、応募期限までに決める事項、想定役割・コミットメントを明示し、チーム候補が適合性を判断しやすく整理。</x:v>
      </x:c>
    </x:row>
    <x:row r="10" ht="235" customHeight="1">
      <x:c r="A10" s="37" t="n">
        <x:v>12</x:v>
      </x:c>
      <x:c r="B10" s="22" t="str">
        <x:v>懸念事項・共有事項等</x:v>
      </x:c>
      <x:c r="C10" s="22" t="str">
        <x:v>任意</x:v>
      </x:c>
      <x:c r="D10" s="20" t="str">
        <x:v>正式な共同応募に先立ち、初回協議で提案テーマ、応募代表者・参加メンバー、各者の役割、応募書類の作成分担、一次審査通過後に投入可能な人員・開発環境を確認したいと考えています。その上で、①背景知財と共同開発で生じる成果知財の帰属・利用条件、②データの利用目的・保管場所・アクセス権・削除方法、③成果公表・対外発表、④開発・実証費用の負担、⑤コンテスト後の共同研究・事業化方針を協議できれば幸いです。施設情報、運用データ、未公開アルゴリズム等の機密情報を共有する場合は、共有前に必要に応じて相互の秘密保持契約（NDA）を締結します。当社はプロジェクト責任者、最適化／AI担当、データ・アプリケーション担当を中心とする体制を想定し、衛星解析担当および現場・評価担当と一体で進めます。機微なインフラ情報については、匿名化・集約化や閉域／指定環境での解析にも対応を検討します。共同応募、データ提供、対外公表は各社・各機関の社内手続きと承認を前提とし、マッチング後、応募期限を踏まえて速やかに合意事項を整理したいと考えています。</x:v>
      </x:c>
      <x:c r="E10" s="45" t="n">
        <x:f>LEN(D10)</x:f>
        <x:v>457</x:v>
      </x:c>
      <x:c r="F10" s="47" t="str">
        <x:v>一般的な共同研究条件に加え、応募代表者、書類分担、一次審査通過後の体制、費用負担など、共同応募前に合意すべき事項を明確化。</x:v>
      </x:c>
    </x:row>
    <x:row r="11" ht="235" customHeight="1">
      <x:c r="A11" s="37" t="n">
        <x:v>13</x:v>
      </x:c>
      <x:c r="B11" s="22" t="str">
        <x:v>関心のあるテーマ</x:v>
      </x:c>
      <x:c r="C11" s="22" t="str">
        <x:v>必須</x:v>
      </x:c>
      <x:c r="D11" s="20" t="str">
        <x:v>☑ インフラマネジメント及び都市活動における課題解決に資する技術開発
☑ インフラに係る防災・災害対応における課題解決に資する技術開発
第一優先：防災・災害対応／第二優先：インフラマネジメント</x:v>
      </x:c>
      <x:c r="E11" s="45" t="n">
        <x:f>LEN(D11)</x:f>
        <x:v>97</x:v>
      </x:c>
      <x:c r="F11" s="47" t="str">
        <x:v>主提案はテーマ2に直結し、平時のBCP・点検・広域管理としてテーマ1にも展開可能。</x:v>
      </x:c>
    </x:row>
    <x:row r="13" ht="48" customHeight="1">
      <x:c r="A13" s="33" t="str">
        <x:v>提出前に確認：①衛星データの直接利用実績が別途あればQ7に追記、②事例数値の外部開示可否、③Q10の対象災害・実証地域、④共同応募の代表者・参加メンバー・応募書類分担、⑤Q11の週次コミットメント、⑥Q12の社内標準契約・知財・情報セキュリティ要件。</x:v>
      </x:c>
      <x:c r="B13" s="34"/>
      <x:c r="C13" s="34"/>
      <x:c r="D13" s="34"/>
      <x:c r="E13" s="34"/>
      <x:c r="F13" s="35"/>
    </x:row>
  </x:sheetData>
  <x:mergeCells>
    <x:mergeCell ref="A1:F1"/>
    <x:mergeCell ref="A2:F2"/>
    <x:mergeCell ref="A13:F13"/>
  </x:mergeCells>
  <x:conditionalFormatting sqref="C5:C11">
    <x:cfRule type="expression" dxfId="1" priority="1">
      <x:formula>C5="必須"</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7" hidden="0" customWidth="1"/>
    <x:col min="4" max="4" width="47" hidden="0" customWidth="1"/>
    <x:col min="5" max="5" width="13" hidden="0" customWidth="1"/>
    <x:col min="6" max="6" width="45" hidden="0" customWidth="1"/>
  </x:cols>
  <x:sheetData>
    <x:row r="1" ht="30" customHeight="1">
      <x:c r="A1" s="3" t="str">
        <x:v>代替案・提出前の確認事項</x:v>
      </x:c>
      <x:c r="B1" s="3"/>
      <x:c r="C1" s="3"/>
      <x:c r="D1" s="3"/>
      <x:c r="E1" s="3"/>
      <x:c r="F1" s="3"/>
    </x:row>
    <x:row r="2" ht="38" customHeight="1">
      <x:c r="A2" s="7" t="str">
        <x:v>推奨案を強くするための選択肢と、断定前に確認したい事項です。確認状態はプルダウンで更新できます。</x:v>
      </x:c>
      <x:c r="B2" s="7"/>
      <x:c r="C2" s="7"/>
      <x:c r="D2" s="7"/>
      <x:c r="E2" s="7"/>
      <x:c r="F2" s="7"/>
    </x:row>
    <x:row r="4">
      <x:c r="A4" s="13" t="str">
        <x:v>区分</x:v>
      </x:c>
      <x:c r="B4" s="13" t="str">
        <x:v>対象</x:v>
      </x:c>
      <x:c r="C4" s="13" t="str">
        <x:v>提案・確認事項</x:v>
      </x:c>
      <x:c r="D4" s="13" t="str">
        <x:v>推奨判断</x:v>
      </x:c>
      <x:c r="E4" s="13" t="str">
        <x:v>確認状態</x:v>
      </x:c>
      <x:c r="F4" s="13" t="str">
        <x:v>理由・影響</x:v>
      </x:c>
    </x:row>
    <x:row r="5" ht="90" customHeight="1">
      <x:c r="A5" s="21" t="str">
        <x:v>要確認</x:v>
      </x:c>
      <x:c r="B5" s="21" t="str">
        <x:v>Q7</x:v>
      </x:c>
      <x:c r="C5" s="19" t="str">
        <x:v>GRIDとして衛星画像、GIS、リモートセンシング、位置情報データを直接扱った社外開示可能な案件・研究があるか。</x:v>
      </x:c>
      <x:c r="D5" s="19" t="str">
        <x:v>実績があれば案件名を伏せた形でも1文追記。なければ現案を維持。</x:v>
      </x:c>
      <x:c r="E5" s="21" t="str">
        <x:v>要確認</x:v>
      </x:c>
      <x:c r="F5" s="19" t="str">
        <x:v>直接実績があれば技術シーズとしての説得力が大きく上がる。一方、推測で補うのは避ける。</x:v>
      </x:c>
    </x:row>
    <x:row r="6" ht="90" customHeight="1">
      <x:c r="A6" s="22" t="str">
        <x:v>要確認</x:v>
      </x:c>
      <x:c r="B6" s="22" t="str">
        <x:v>Q8</x:v>
      </x:c>
      <x:c r="C6" s="20" t="str">
        <x:v>配船・輸送事例の効果数値（約1/60、最大約20％、10分、5％）を本フォームで外部共有してよいか。</x:v>
      </x:c>
      <x:c r="D6" s="20" t="str">
        <x:v>会社紹介資料が対外配布可能なら維持。難しければ定性的表現へ置換。</x:v>
      </x:c>
      <x:c r="E6" s="22" t="str">
        <x:v>要確認</x:v>
      </x:c>
      <x:c r="F6" s="20" t="str">
        <x:v>参加者情報は他参加者へ共有されるため、公開範囲を確認する。</x:v>
      </x:c>
    </x:row>
    <x:row r="7" ht="90" customHeight="1">
      <x:c r="A7" s="22" t="str">
        <x:v>代替案</x:v>
      </x:c>
      <x:c r="B7" s="22" t="str">
        <x:v>Q10</x:v>
      </x:c>
      <x:c r="C7" s="20" t="str">
        <x:v>広域点検・予防保全型：衛星で地盤変位・周辺環境変化を抽出し、道路・橋梁・港湾等の点検優先順位、巡回ルート、補修時期、人員・予算配分を最適化する。</x:v>
      </x:c>
      <x:c r="D7" s="20" t="str">
        <x:v>現場データを持つ道路・港湾管理者が見つかった場合の第2候補。</x:v>
      </x:c>
      <x:c r="E7" s="22" t="str">
        <x:v>検討中</x:v>
      </x:c>
      <x:c r="F7" s="20" t="str">
        <x:v>テーマ1への適合が強く、過去点検履歴を得られれば検証設計が比較的明確。</x:v>
      </x:c>
    </x:row>
    <x:row r="8" ht="90" customHeight="1">
      <x:c r="A8" s="22" t="str">
        <x:v>代替案</x:v>
      </x:c>
      <x:c r="B8" s="22" t="str">
        <x:v>Q10</x:v>
      </x:c>
      <x:c r="C8" s="20" t="str">
        <x:v>平時物流・港湾型：衛星・気象・港湾混雑データを用い、配船、バース、ヤード、陸上輸送を一体最適化する。</x:v>
      </x:c>
      <x:c r="D8" s="20" t="str">
        <x:v>海運・港湾事業者と衛星海洋データ企業がそろう場合の第3候補。</x:v>
      </x:c>
      <x:c r="E8" s="22" t="str">
        <x:v>検討中</x:v>
      </x:c>
      <x:c r="F8" s="20" t="str">
        <x:v>既存の配船・港湾ロジスティクス実績を最も直接的に活用できる。</x:v>
      </x:c>
    </x:row>
    <x:row r="9" ht="90" customHeight="1">
      <x:c r="A9" s="22" t="str">
        <x:v>要確認</x:v>
      </x:c>
      <x:c r="B9" s="22" t="str">
        <x:v>Q10</x:v>
      </x:c>
      <x:c r="C9" s="20" t="str">
        <x:v>主提案で優先する災害種別（豪雨・洪水、土砂災害、地震等）と実証地域を選べるか。</x:v>
      </x:c>
      <x:c r="D9" s="20" t="str">
        <x:v>豪雨・洪水または土砂災害に絞り、自治体・道路・港湾の実証先に合わせる。</x:v>
      </x:c>
      <x:c r="E9" s="22" t="str">
        <x:v>要確認</x:v>
      </x:c>
      <x:c r="F9" s="20" t="str">
        <x:v>対象を絞ると必要データ、精度指標、PoC期間を具体化しやすい。</x:v>
      </x:c>
    </x:row>
    <x:row r="10" ht="90" customHeight="1">
      <x:c r="A10" s="22" t="str">
        <x:v>要確認</x:v>
      </x:c>
      <x:c r="B10" s="22" t="str">
        <x:v>Q11</x:v>
      </x:c>
      <x:c r="C10" s="20" t="str">
        <x:v>週1回60分、4〜6週間、担当者各1名以上というコミットメントを提示してよいか。</x:v>
      </x:c>
      <x:c r="D10" s="20" t="str">
        <x:v>社内リソースに合わせて調整し、数字を残す。</x:v>
      </x:c>
      <x:c r="E10" s="22" t="str">
        <x:v>要確認</x:v>
      </x:c>
      <x:c r="F10" s="20" t="str">
        <x:v>具体的なコミットメントは相手の安心材料になるが、実行可能性が必要。</x:v>
      </x:c>
    </x:row>
    <x:row r="11" ht="90" customHeight="1">
      <x:c r="A11" s="22" t="str">
        <x:v>要確認</x:v>
      </x:c>
      <x:c r="B11" s="22" t="str">
        <x:v>Q12</x:v>
      </x:c>
      <x:c r="C11" s="20" t="str">
        <x:v>GRID標準のNDA、共同研究契約、情報セキュリティ審査、クラウド利用ルールの有無。</x:v>
      </x:c>
      <x:c r="D11" s="20" t="str">
        <x:v>標準条件があればQ12をそれに合わせる。</x:v>
      </x:c>
      <x:c r="E11" s="22" t="str">
        <x:v>要確認</x:v>
      </x:c>
      <x:c r="F11" s="20" t="str">
        <x:v>マッチング段階では柔軟性を残しつつ、必須条件の見落としを防ぐ。</x:v>
      </x:c>
    </x:row>
    <x:row r="12" ht="90" customHeight="1">
      <x:c r="A12" s="22" t="str">
        <x:v>改善提案</x:v>
      </x:c>
      <x:c r="B12" s="22" t="str">
        <x:v>Q10〜Q12</x:v>
      </x:c>
      <x:c r="C12" s="20" t="str">
        <x:v>マッチングの目的を「一般的な共同研究先探し」ではなく「本コンテストへの共同応募に向けたチーム組成」と明示する。</x:v>
      </x:c>
      <x:c r="D12" s="20" t="str">
        <x:v>共同提案、応募体制、役割分担、応募後の開発・評価計画を一貫して記載。</x:v>
      </x:c>
      <x:c r="E12" s="22" t="str">
        <x:v>反映済</x:v>
      </x:c>
      <x:c r="F12" s="20" t="str">
        <x:v>公式資料のプロセス（直接交渉→チーム組成→コンテスト応募→共同研究）と回答案の位置づけを一致させる。</x:v>
      </x:c>
    </x:row>
  </x:sheetData>
  <x:mergeCells>
    <x:mergeCell ref="A1:F1"/>
    <x:mergeCell ref="A2:F2"/>
  </x:mergeCells>
  <x:conditionalFormatting sqref="E5:E12">
    <x:cfRule type="containsText" dxfId="2" priority="1" operator="containsText" text="要確認"/>
    <x:cfRule type="containsText" dxfId="3" priority="2" operator="containsText" text="確認済"/>
  </x:conditionalFormatting>
  <x:dataValidations count="1">
    <x:dataValidation type="list" sqref="E5:E12">
      <x:formula1>"要確認,検討中,確認済"</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7" hidden="0" customWidth="1"/>
    <x:col min="3" max="3" width="64" hidden="0" customWidth="1"/>
    <x:col min="4" max="4" width="23" hidden="0" customWidth="1"/>
    <x:col min="5" max="5" width="82" hidden="0" customWidth="1"/>
  </x:cols>
  <x:sheetData>
    <x:row r="1" ht="30" customHeight="1">
      <x:c r="A1" s="3" t="str">
        <x:v>出典・根拠</x:v>
      </x:c>
      <x:c r="B1" s="3"/>
      <x:c r="C1" s="3"/>
      <x:c r="D1" s="3"/>
      <x:c r="E1" s="3"/>
    </x:row>
    <x:row r="2" ht="38" customHeight="1">
      <x:c r="A2" s="7" t="str">
        <x:v>回答案の作成に使用した資料と参照箇所。URLは監査しやすいよう平文で記載しています。</x:v>
      </x:c>
      <x:c r="B2" s="7"/>
      <x:c r="C2" s="7"/>
      <x:c r="D2" s="7"/>
      <x:c r="E2" s="7"/>
    </x:row>
    <x:row r="4">
      <x:c r="A4" s="13" t="str">
        <x:v>出典</x:v>
      </x:c>
      <x:c r="B4" s="13" t="str">
        <x:v>参照箇所</x:v>
      </x:c>
      <x:c r="C4" s="13" t="str">
        <x:v>確認した内容</x:v>
      </x:c>
      <x:c r="D4" s="13" t="str">
        <x:v>主に反映した項目</x:v>
      </x:c>
      <x:c r="E4" s="13" t="str">
        <x:v>URL／ファイル</x:v>
      </x:c>
    </x:row>
    <x:row r="5" ht="70" customHeight="1">
      <x:c r="A5" s="19" t="str">
        <x:v>応募フォーム画面</x:v>
      </x:c>
      <x:c r="B5" s="19" t="str">
        <x:v>スクリーンショット 2026-07-29 9.48.30.png</x:v>
      </x:c>
      <x:c r="C5" s="19" t="str">
        <x:v>項目7〜9の設問名、記載指示、例示。</x:v>
      </x:c>
      <x:c r="D5" s="19" t="str">
        <x:v>Q7〜Q9、応募項目一覧</x:v>
      </x:c>
      <x:c r="E5" s="19" t="str">
        <x:v>/Users/abe.shuhei/Downloads/スクリーンショット 2026-07-29 9.48.30.png</x:v>
      </x:c>
    </x:row>
    <x:row r="6" ht="70" customHeight="1">
      <x:c r="A6" s="20" t="str">
        <x:v>応募フォーム画面</x:v>
      </x:c>
      <x:c r="B6" s="20" t="str">
        <x:v>スクリーンショット 2026-07-29 9.48.45.png</x:v>
      </x:c>
      <x:c r="C6" s="20" t="str">
        <x:v>項目10〜13の設問名、必須表示、記載指示、テーマ選択肢。</x:v>
      </x:c>
      <x:c r="D6" s="20" t="str">
        <x:v>Q10〜Q13、応募項目一覧</x:v>
      </x:c>
      <x:c r="E6" s="20" t="str">
        <x:v>/Users/abe.shuhei/Downloads/スクリーンショット 2026-07-29 9.48.45.png</x:v>
      </x:c>
    </x:row>
    <x:row r="7" ht="70" customHeight="1">
      <x:c r="A7" s="20" t="str">
        <x:v>会社紹介資料</x:v>
      </x:c>
      <x:c r="B7" s="20" t="str">
        <x:v>P.2〜12</x:v>
      </x:c>
      <x:c r="C7" s="20" t="str">
        <x:v>会社概要、AI計画最適化の価値、陸上輸送・配船・拠点配置・生産・人員・港湾ロジスティクスの機能。</x:v>
      </x:c>
      <x:c r="D7" s="20" t="str">
        <x:v>Q7〜Q10</x:v>
      </x:c>
      <x:c r="E7" s="20" t="str">
        <x:v>/Users/abe.shuhei/Downloads/製造_運輸分野での取組みご紹介_最終盤.pptx</x:v>
      </x:c>
    </x:row>
    <x:row r="8" ht="70" customHeight="1">
      <x:c r="A8" s="20" t="str">
        <x:v>会社紹介資料</x:v>
      </x:c>
      <x:c r="B8" s="20" t="str">
        <x:v>P.13〜18</x:v>
      </x:c>
      <x:c r="C8" s="20" t="str">
        <x:v>輸送、配船、拠点配置の事例と効果（計画時間、運送効率、GHG、輸送コスト、自動リプラン）。</x:v>
      </x:c>
      <x:c r="D8" s="20" t="str">
        <x:v>Q8〜Q10</x:v>
      </x:c>
      <x:c r="E8" s="20" t="str">
        <x:v>/Users/abe.shuhei/Downloads/製造_運輸分野での取組みご紹介_最終盤.pptx</x:v>
      </x:c>
    </x:row>
    <x:row r="9" ht="70" customHeight="1">
      <x:c r="A9" s="20" t="str">
        <x:v>会社紹介資料</x:v>
      </x:c>
      <x:c r="B9" s="20" t="str">
        <x:v>P.21〜29</x:v>
      </x:c>
      <x:c r="C9" s="20" t="str">
        <x:v>港湾ロジスティクス、電力、建設、空調、需要予測、量子機械学習等の実装・協業事例。</x:v>
      </x:c>
      <x:c r="D9" s="20" t="str">
        <x:v>Q8、Q9</x:v>
      </x:c>
      <x:c r="E9" s="20" t="str">
        <x:v>/Users/abe.shuhei/Downloads/製造_運輸分野での取組みご紹介_最終盤.pptx</x:v>
      </x:c>
    </x:row>
    <x:row r="10" ht="70" customHeight="1">
      <x:c r="A10" s="20" t="str">
        <x:v>応募書類</x:v>
      </x:c>
      <x:c r="B10" s="20" t="str">
        <x:v>P.16〜18</x:v>
      </x:c>
      <x:c r="C10" s="20" t="str">
        <x:v>量子制御、量子機械学習、深層強化学習、確率最適化、QAOA、デジタルツイン、電力会社との連携、産学連携。</x:v>
      </x:c>
      <x:c r="D10" s="20" t="str">
        <x:v>Q9</x:v>
      </x:c>
      <x:c r="E10" s="20" t="str">
        <x:v>/Users/abe.shuhei/Downloads/応募書類.pdf</x:v>
      </x:c>
    </x:row>
    <x:row r="11" ht="70" customHeight="1">
      <x:c r="A11" s="20" t="str">
        <x:v>NEDO Challenge 公式サイト</x:v>
      </x:c>
      <x:c r="B11" s="20" t="str">
        <x:v>ABOUT／THEME／Matching Program</x:v>
      </x:c>
      <x:c r="C11" s="20" t="str">
        <x:v>衛星データと各種センサによるインフラ維持管理・防災高度化、2テーマ、提供データ、マッチング目的。</x:v>
      </x:c>
      <x:c r="D11" s="20" t="str">
        <x:v>Q10〜Q13</x:v>
      </x:c>
      <x:c r="E11" s="20" t="str">
        <x:v>https://space-data-challenge.nedo.go.jp/infrastructure/</x:v>
      </x:c>
    </x:row>
    <x:row r="12" ht="70" customHeight="1">
      <x:c r="A12" s="20" t="str">
        <x:v>公式マッチング資料</x:v>
      </x:c>
      <x:c r="B12" s="20" t="str">
        <x:v>画像1〜3</x:v>
      </x:c>
      <x:c r="C12" s="20" t="str">
        <x:v>コンテスト参加を促す制度であり、マッチング後は直接交渉し、チーム組成・コンテスト応募・その先の共同研究へ進むプロセス。</x:v>
      </x:c>
      <x:c r="D12" s="20" t="str">
        <x:v>全体、特にQ10〜Q12</x:v>
      </x:c>
      <x:c r="E12" s="20" t="str">
        <x:v>https://space-data-challenge.nedo.go.jp/infrastructure/img/01.jpg</x:v>
      </x:c>
    </x:row>
  </x:sheetData>
  <x:mergeCells>
    <x:mergeCell ref="A1:E1"/>
    <x:mergeCell ref="A2:E2"/>
  </x:mergeCells>
  <x:pageMargins left="0.7" right="0.7" top="0.75" bottom="0.75" header="0.3" footer="0.3"/>
</x:worksheet>
</file>