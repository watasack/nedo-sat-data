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6cb3a052494a98" /></Relationships>
</file>

<file path=xl/workbook.xml><?xml version="1.0" encoding="utf-8"?>
<x:workbook xmlns:x="http://schemas.openxmlformats.org/spreadsheetml/2006/main">
  <x:sheets>
    <x:sheet xmlns:r="http://schemas.openxmlformats.org/officeDocument/2006/relationships" name="応募項目一覧" sheetId="1" r:id="R14593aaab66c4b40"/>
    <x:sheet xmlns:r="http://schemas.openxmlformats.org/officeDocument/2006/relationships" name="提出用回答案" sheetId="2" r:id="R52fe8e5e28e04ebc"/>
    <x:sheet xmlns:r="http://schemas.openxmlformats.org/officeDocument/2006/relationships" name="代替案・確認事項" sheetId="3" r:id="Re4c7b652a3f84d6a"/>
    <x:sheet xmlns:r="http://schemas.openxmlformats.org/officeDocument/2006/relationships" name="出典・根拠" sheetId="4" r:id="R0ff1dd461e334e4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FFFFFF"/>
      <x:name val="Carlito"/>
    </x:font>
    <x:font>
      <x:sz val="10"/>
      <x:color rgb="FF595959"/>
      <x:name val="Carlito"/>
    </x:font>
    <x:font>
      <x:b/>
      <x:sz val="11"/>
      <x:color rgb="FFFFFFFF"/>
      <x:name val="Carlito"/>
    </x:font>
    <x:font>
      <x:sz val="10"/>
      <x:color rgb="FF1F1F1F"/>
      <x:name val="Carlito"/>
    </x:font>
    <x:font>
      <x:b/>
      <x:sz val="10"/>
      <x:color rgb="FF17365D"/>
      <x:name val="Carlito"/>
    </x:font>
    <x:font>
      <x:b/>
      <x:sz val="11"/>
      <x:color rgb="FF7F6000"/>
      <x:name val="Carlito"/>
    </x:font>
    <x:font>
      <x:b/>
      <x:sz val="12"/>
      <x:color rgb="FF17365D"/>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F2F2F2"/>
      </x:patternFill>
    </x:fill>
    <x:fill>
      <x:patternFill patternType="solid">
        <x:fgColor rgb="FFF8FBFE"/>
      </x:patternFill>
    </x:fill>
  </x:fills>
  <x:borders count="7">
    <x:border/>
    <x:border>
      <x:left style="thin">
        <x:color rgb="FFB4C6E7"/>
      </x:left>
      <x:right style="thin">
        <x:color rgb="FFB4C6E7"/>
      </x:right>
      <x:top style="thin">
        <x:color rgb="FFB4C6E7"/>
      </x:top>
      <x:bottom style="thin">
        <x:color rgb="FFB4C6E7"/>
      </x:bottom>
    </x:border>
    <x:border>
      <x:bottom style="thin">
        <x:color rgb="FFD9E2F3"/>
      </x:bottom>
    </x:border>
    <x:border>
      <x:top style="thin">
        <x:color rgb="FFD9E2F3"/>
      </x:top>
      <x:bottom style="thin">
        <x:color rgb="FFD9E2F3"/>
      </x:bottom>
    </x:border>
    <x:border>
      <x:left style="thin">
        <x:color rgb="FFD6B656"/>
      </x:left>
      <x:top style="thin">
        <x:color rgb="FFD6B656"/>
      </x:top>
      <x:bottom style="thin">
        <x:color rgb="FFD6B656"/>
      </x:bottom>
    </x:border>
    <x:border>
      <x:top style="thin">
        <x:color rgb="FFD6B656"/>
      </x:top>
      <x:bottom style="thin">
        <x:color rgb="FFD6B656"/>
      </x:bottom>
    </x:border>
    <x:border>
      <x:right style="thin">
        <x:color rgb="FFD6B656"/>
      </x:right>
      <x:top style="thin">
        <x:color rgb="FFD6B656"/>
      </x:top>
      <x:bottom style="thin">
        <x:color rgb="FFD6B656"/>
      </x:bottom>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2"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5" fillId="0" borderId="2"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0" fillId="5" borderId="0" xfId="0" applyNumberFormat="1" applyFont="1" applyFill="1" applyBorder="1"/>
    <x:xf numFmtId="0" fontId="6" fillId="5" borderId="0" xfId="0" applyNumberFormat="1" applyFont="1" applyFill="1" applyBorder="1"/>
    <x:xf numFmtId="0" fontId="6" fillId="5" borderId="4"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4" xfId="0" applyNumberFormat="1" applyFont="1" applyFill="1" applyBorder="1" applyAlignment="1">
      <x:alignment wrapText="1"/>
    </x:xf>
    <x:xf numFmtId="0" fontId="6" fillId="5" borderId="5"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4" xfId="0" applyNumberFormat="1" applyFont="1" applyFill="1" applyBorder="1" applyAlignment="1">
      <x:alignment vertical="center" wrapText="1"/>
    </x:xf>
    <x:xf numFmtId="0" fontId="6" fillId="5" borderId="5" xfId="0" applyNumberFormat="1" applyFont="1" applyFill="1" applyBorder="1" applyAlignment="1">
      <x:alignment vertical="center" wrapText="1"/>
    </x:xf>
    <x:xf numFmtId="0" fontId="6" fillId="5" borderId="6" xfId="0" applyNumberFormat="1" applyFont="1" applyFill="1" applyBorder="1" applyAlignment="1">
      <x:alignment vertical="center" wrapText="1"/>
    </x:xf>
    <x:xf numFmtId="0" fontId="7" fillId="0" borderId="2" xfId="0" applyNumberFormat="1" applyFont="1" applyFill="1" applyBorder="1" applyAlignment="1">
      <x:alignment horizontal="center" vertical="top" wrapText="1"/>
    </x:xf>
    <x:xf numFmtId="0" fontId="7" fillId="0" borderId="3" xfId="0" applyNumberFormat="1" applyFont="1" applyFill="1" applyBorder="1" applyAlignment="1">
      <x:alignment horizontal="center"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200" fontId="5" fillId="6" borderId="2" xfId="0" applyNumberFormat="1" applyFont="1" applyFill="1" applyBorder="1" applyAlignment="1">
      <x:alignment vertical="top" wrapText="1"/>
    </x:xf>
    <x:xf numFmtId="200" fontId="5" fillId="6" borderId="3" xfId="0" applyNumberFormat="1" applyFont="1" applyFill="1" applyBorder="1" applyAlignment="1">
      <x:alignment vertical="top" wrapText="1"/>
    </x:xf>
    <x:xf numFmtId="200" fontId="5" fillId="6" borderId="2" xfId="0" applyNumberFormat="1" applyFont="1" applyFill="1" applyBorder="1" applyAlignment="1">
      <x:alignment horizontal="center" vertical="top" wrapText="1"/>
    </x:xf>
    <x:xf numFmtId="200" fontId="5" fillId="6" borderId="3" xfId="0" applyNumberFormat="1" applyFont="1" applyFill="1" applyBorder="1" applyAlignment="1">
      <x:alignment horizontal="center" vertical="top" wrapText="1"/>
    </x:xf>
    <x:xf numFmtId="0" fontId="4" fillId="7" borderId="2"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dxfs count="4">
    <x:dxf>
      <x:font>
        <x:b/>
        <x:color rgb="FF9C0006"/>
      </x:font>
      <x:fill>
        <x:patternFill>
          <x:bgColor rgb="FFFCE4D6"/>
        </x:patternFill>
      </x:fill>
    </x:dxf>
    <x:dxf>
      <x:font>
        <x:b/>
        <x:color rgb="FF9C0006"/>
      </x:font>
      <x:fill>
        <x:patternFill>
          <x:bgColor rgb="FFFCE4D6"/>
        </x:patternFill>
      </x:fill>
    </x:dxf>
    <x:dxf>
      <x:font>
        <x:b/>
        <x:color rgb="FF7F6000"/>
      </x:font>
      <x:fill>
        <x:patternFill>
          <x:bgColor rgb="FFFFF2CC"/>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8f3c44bd97468e" /><Relationship Type="http://schemas.openxmlformats.org/officeDocument/2006/relationships/theme" Target="/xl/theme/theme1.xml" Id="R73a575be309c4b48" /><Relationship Type="http://schemas.openxmlformats.org/officeDocument/2006/relationships/sharedStrings" Target="/xl/sharedStrings.xml" Id="R8b8534feb383427e" /><Relationship Type="http://schemas.openxmlformats.org/officeDocument/2006/relationships/worksheet" Target="/xl/worksheets/sheet1.xml" Id="R14593aaab66c4b40" /><Relationship Type="http://schemas.openxmlformats.org/officeDocument/2006/relationships/worksheet" Target="/xl/worksheets/sheet2.xml" Id="R52fe8e5e28e04ebc" /><Relationship Type="http://schemas.openxmlformats.org/officeDocument/2006/relationships/worksheet" Target="/xl/worksheets/sheet3.xml" Id="Re4c7b652a3f84d6a" /><Relationship Type="http://schemas.openxmlformats.org/officeDocument/2006/relationships/worksheet" Target="/xl/worksheets/sheet4.xml" Id="R0ff1dd461e334e4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29" hidden="0" customWidth="1"/>
    <x:col min="3" max="3" width="10" hidden="0" customWidth="1"/>
    <x:col min="4" max="4" width="19" hidden="0" customWidth="1"/>
    <x:col min="5" max="5" width="52" hidden="0" customWidth="1"/>
    <x:col min="6" max="6" width="49" hidden="0" customWidth="1"/>
    <x:col min="7" max="7" width="34" hidden="0" customWidth="1"/>
  </x:cols>
  <x:sheetData>
    <x:row r="1" ht="30" customHeight="1">
      <x:c r="A1" s="3" t="str">
        <x:v>NEDO Challenge マッチングプログラム｜応募項目一覧</x:v>
      </x:c>
      <x:c r="B1" s="3"/>
      <x:c r="C1" s="3"/>
      <x:c r="D1" s="3"/>
      <x:c r="E1" s="3"/>
      <x:c r="F1" s="3"/>
      <x:c r="G1" s="3"/>
    </x:row>
    <x:row r="2" ht="38" customHeight="1">
      <x:c r="A2" s="7" t="str">
        <x:v>2枚の応募フォーム画面から項目7〜13を転記。参加者情報は他のマッチングプログラム参加者に共有されるため、機密情報を含めない前提で整理しています。</x:v>
      </x:c>
      <x:c r="B2" s="7"/>
      <x:c r="C2" s="7"/>
      <x:c r="D2" s="7"/>
      <x:c r="E2" s="7"/>
      <x:c r="F2" s="7"/>
      <x:c r="G2" s="7"/>
    </x:row>
    <x:row r="4">
      <x:c r="A4" s="13" t="str">
        <x:v>No.</x:v>
      </x:c>
      <x:c r="B4" s="13" t="str">
        <x:v>項目名</x:v>
      </x:c>
      <x:c r="C4" s="13" t="str">
        <x:v>必須</x:v>
      </x:c>
      <x:c r="D4" s="13" t="str">
        <x:v>入力形式</x:v>
      </x:c>
      <x:c r="E4" s="13" t="str">
        <x:v>フォーム上の指示・記載観点</x:v>
      </x:c>
      <x:c r="F4" s="13" t="str">
        <x:v>推奨する記載方針</x:v>
      </x:c>
      <x:c r="G4" s="13" t="str">
        <x:v>注意点</x:v>
      </x:c>
    </x:row>
    <x:row r="5" ht="92" customHeight="1">
      <x:c r="A5" s="23" t="n">
        <x:v>7</x:v>
      </x:c>
      <x:c r="B5" s="21" t="str">
        <x:v>データ利活用に関する知見（技術シーズ）</x:v>
      </x:c>
      <x:c r="C5" s="21" t="str">
        <x:v>任意</x:v>
      </x:c>
      <x:c r="D5" s="21" t="str">
        <x:v>長文テキスト</x:v>
      </x:c>
      <x:c r="E5" s="19" t="str">
        <x:v>衛星データをはじめとしたデータ利活用に関する経験、知見、R&amp;Dプロジェクトへの参加履歴等。課題・ニーズ保有者を探している場合は出来るだけ記載。</x:v>
      </x:c>
      <x:c r="F5" s="19" t="str">
        <x:v>衛星解析そのものの実績は限定的であることを率直に示しつつ、多様な時空間データを予測・シミュレーション・最適化へ接続する実装力を主軸にする。</x:v>
      </x:c>
      <x:c r="G5" s="19" t="str">
        <x:v>衛星データの直接実績を過大に表現しない。</x:v>
      </x:c>
    </x:row>
    <x:row r="6" ht="92" customHeight="1">
      <x:c r="A6" s="24" t="n">
        <x:v>8</x:v>
      </x:c>
      <x:c r="B6" s="22" t="str">
        <x:v>社会インフラ分野に関する知見（課題・ニーズ）</x:v>
      </x:c>
      <x:c r="C6" s="22" t="str">
        <x:v>任意</x:v>
      </x:c>
      <x:c r="D6" s="22" t="str">
        <x:v>長文テキスト</x:v>
      </x:c>
      <x:c r="E6" s="20" t="str">
        <x:v>社会インフラ分野の課題領域に関する経験、知見、R&amp;Dプロジェクトへの参加履歴等。技術シーズ保有者を探している場合は出来るだけ記載。</x:v>
      </x:c>
      <x:c r="F6" s="20" t="str">
        <x:v>物流・海運・港湾・電力・建設・建物設備での計画最適化実績と、現場共通課題（属人化、複雑制約、再計画、脱炭素）を具体化する。</x:v>
      </x:c>
      <x:c r="G6" s="20" t="str">
        <x:v>実績値は会社紹介資料に記載のある範囲に限定。</x:v>
      </x:c>
    </x:row>
    <x:row r="7" ht="92" customHeight="1">
      <x:c r="A7" s="24" t="n">
        <x:v>9</x:v>
      </x:c>
      <x:c r="B7" s="22" t="str">
        <x:v>自身に対する自由記述</x:v>
      </x:c>
      <x:c r="C7" s="22" t="str">
        <x:v>任意</x:v>
      </x:c>
      <x:c r="D7" s="22" t="str">
        <x:v>長文テキスト</x:v>
      </x:c>
      <x:c r="E7" s="20" t="str">
        <x:v>他参加者に対し、自身または自チームの能力、環境、熱意等を自由記述。共同研究相手にとってのメリット、研究環境、提供技術、提供出来るデータ、研究環境等にも言及。</x:v>
      </x:c>
      <x:c r="F7" s="20" t="str">
        <x:v>数理最適化を主軸に据え、需要予測・シミュレーション・デジタルツイン等を組み合わせ、データ統合から可視化・業務アプリケーション・運用定着まで一気通貫で支援できる点を記載する。</x:v>
      </x:c>
      <x:c r="G7" s="20" t="str">
        <x:v>「何でもできるAI企業」という曖昧な訴求を避け、衛星解析を現場で実行可能な計画へ変換できることを差別化の軸にする。一方、数理最適化専業には見えない構成とする。</x:v>
      </x:c>
    </x:row>
    <x:row r="8" ht="92" customHeight="1">
      <x:c r="A8" s="24" t="n">
        <x:v>10</x:v>
      </x:c>
      <x:c r="B8" s="22" t="str">
        <x:v>事業化や共同研究に向けて取り組みたいこと</x:v>
      </x:c>
      <x:c r="C8" s="22" t="str">
        <x:v>任意</x:v>
      </x:c>
      <x:c r="D8" s="22" t="str">
        <x:v>長文テキスト</x:v>
      </x:c>
      <x:c r="E8" s="20" t="str">
        <x:v>今回のマッチングプログラムを通じ、事業化や共同研究に向けて一緒に取り組みたいアイデアを自由記述。研究の意義・社会インパクトにも触れることを推奨。</x:v>
      </x:c>
      <x:c r="F8" s="20" t="str">
        <x:v>①災害時のマルチモーダル輸送・復旧計画、②電柱AIP、③広域除排雪、④防災・物流拠点配置の4案を提示。④は衛星由来の災害リスクと需要・交通・用地情報から、拠点の位置・容量を最適化する。</x:v>
      </x:c>
      <x:c r="G8" s="20" t="str">
        <x:v>④では平時の配送効率だけでなく、災害時の到達性・代替性、重要地域のカバー率を評価し、「どこに、何を、どれだけ持つか」を複数シナリオで比較できる構成とする。</x:v>
      </x:c>
    </x:row>
    <x:row r="9" ht="92" customHeight="1">
      <x:c r="A9" s="24" t="n">
        <x:v>11</x:v>
      </x:c>
      <x:c r="B9" s="22" t="str">
        <x:v>希望するマッチング先</x:v>
      </x:c>
      <x:c r="C9" s="22" t="str">
        <x:v>必須</x:v>
      </x:c>
      <x:c r="D9" s="22" t="str">
        <x:v>長文テキスト</x:v>
      </x:c>
      <x:c r="E9" s="20" t="str">
        <x:v>希望するマッチング先の専門性やサポートを自由記述。必須要件と希望要件を分けるなど、要望の重要性も必要に応じ記載。</x:v>
      </x:c>
      <x:c r="F9" s="20" t="str">
        <x:v>共同応募の意思を前提に、衛星解析、現場・データ、GIS／データ連携の専門性、応募期限までの役割分担・体制検討へのコミットメントを明記する。</x:v>
      </x:c>
      <x:c r="G9" s="20" t="str">
        <x:v>相手が自社の適合性を判断できる具体度にする。</x:v>
      </x:c>
    </x:row>
    <x:row r="10" ht="92" customHeight="1">
      <x:c r="A10" s="24" t="n">
        <x:v>12</x:v>
      </x:c>
      <x:c r="B10" s="22" t="str">
        <x:v>懸念事項・共有事項等</x:v>
      </x:c>
      <x:c r="C10" s="22" t="str">
        <x:v>任意</x:v>
      </x:c>
      <x:c r="D10" s="22" t="str">
        <x:v>長文テキスト</x:v>
      </x:c>
      <x:c r="E10" s="20" t="str">
        <x:v>マッチング先に事前に知っておいてもらいたいことや、連携等に向けて懸念されている点。</x:v>
      </x:c>
      <x:c r="F10" s="20" t="str">
        <x:v>共同応募前に、代表者・応募書類分担・一次審査通過後の体制・費用、NDA、データ管理、知財、成果公表、社内承認を整理する。</x:v>
      </x:c>
      <x:c r="G10" s="20" t="str">
        <x:v>要求が強すぎる印象を避け、協議可能性を残す。</x:v>
      </x:c>
    </x:row>
    <x:row r="11" ht="92" customHeight="1">
      <x:c r="A11" s="24" t="n">
        <x:v>13</x:v>
      </x:c>
      <x:c r="B11" s="22" t="str">
        <x:v>関心のあるテーマ</x:v>
      </x:c>
      <x:c r="C11" s="22" t="str">
        <x:v>必須</x:v>
      </x:c>
      <x:c r="D11" s="22" t="str">
        <x:v>チェックボックス（複数回答可）</x:v>
      </x:c>
      <x:c r="E11" s="20" t="str">
        <x:v>①インフラマネジメント及び都市活動における課題解決に資する技術開発／②インフラに係る防災・災害対応における課題解決に資する技術開発。</x:v>
      </x:c>
      <x:c r="F11" s="20" t="str">
        <x:v>両方を選択。主提案との整合から②を第一優先、①を第二優先とする。</x:v>
      </x:c>
      <x:c r="G11" s="20" t="str">
        <x:v>フォームでは両方にチェック。</x:v>
      </x:c>
    </x:row>
    <x:row r="13" ht="58" customHeight="1">
      <x:c r="A13" s="33" t="str">
        <x:v>プログラム設計上の重要ポイント：本制度は、マッチング後に直接交渉し、チームを組成してNEDO Challengeへ応募することを主目的とし、その先の共同研究・事業化につなげるものです。回答では、共同提案の内容、各者の役割、応募期限までに決める事項、一次審査通過後の開発・評価体制まで示すと、相手が参加可否を判断しやすくなります。</x:v>
      </x:c>
      <x:c r="B13" s="34"/>
      <x:c r="C13" s="34"/>
      <x:c r="D13" s="34"/>
      <x:c r="E13" s="34"/>
      <x:c r="F13" s="34"/>
      <x:c r="G13" s="35"/>
    </x:row>
  </x:sheetData>
  <x:mergeCells>
    <x:mergeCell ref="A1:G1"/>
    <x:mergeCell ref="A2:G2"/>
    <x:mergeCell ref="A13:G13"/>
  </x:mergeCells>
  <x:conditionalFormatting sqref="C5:C11">
    <x:cfRule type="expression" dxfId="0" priority="1">
      <x:formula>C5="必須"</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31" hidden="0" customWidth="1"/>
    <x:col min="3" max="3" width="10" hidden="0" customWidth="1"/>
    <x:col min="4" max="4" width="100" hidden="0" customWidth="1"/>
    <x:col min="5" max="5" width="11" hidden="0" customWidth="1"/>
    <x:col min="6" max="6" width="45" hidden="0" customWidth="1"/>
  </x:cols>
  <x:sheetData>
    <x:row r="1" ht="30" customHeight="1">
      <x:c r="A1" s="3" t="str">
        <x:v>提出用回答案（項目7〜13）</x:v>
      </x:c>
      <x:c r="B1" s="3"/>
      <x:c r="C1" s="3"/>
      <x:c r="D1" s="3"/>
      <x:c r="E1" s="3"/>
      <x:c r="F1" s="3"/>
    </x:row>
    <x:row r="2" ht="38" customHeight="1">
      <x:c r="A2" s="7" t="str">
        <x:v>そのままフォームへ転記できる推奨案です。黄色セルは提出前に社内確認を推奨します。文字数はExcel関数で自動計算します。</x:v>
      </x:c>
      <x:c r="B2" s="7"/>
      <x:c r="C2" s="7"/>
      <x:c r="D2" s="7"/>
      <x:c r="E2" s="7"/>
      <x:c r="F2" s="7"/>
    </x:row>
    <x:row r="4">
      <x:c r="A4" s="13" t="str">
        <x:v>No.</x:v>
      </x:c>
      <x:c r="B4" s="13" t="str">
        <x:v>項目</x:v>
      </x:c>
      <x:c r="C4" s="13" t="str">
        <x:v>必須</x:v>
      </x:c>
      <x:c r="D4" s="13" t="str">
        <x:v>推奨回答案</x:v>
      </x:c>
      <x:c r="E4" s="13" t="str">
        <x:v>文字数</x:v>
      </x:c>
      <x:c r="F4" s="13" t="str">
        <x:v>主な根拠・狙い</x:v>
      </x:c>
    </x:row>
    <x:row r="5" ht="235" customHeight="1">
      <x:c r="A5" s="36" t="n">
        <x:v>7</x:v>
      </x:c>
      <x:c r="B5" s="21" t="str">
        <x:v>データ利活用に関する知見（技術シーズ）</x:v>
      </x:c>
      <x:c r="C5" s="21" t="str">
        <x:v>任意</x:v>
      </x:c>
      <x:c r="D5" s="19" t="str">
        <x:v>当社は、AI・数理最適化・デジタルツインを用い、物流、海運、港湾、電力、製造等の社会インフラ領域において、需要、在庫、設備能力、気象、港湾条件、車両・船舶、人員等の多様なデータを統合し、予測・シミュレーション・最適な計画立案につなげるシステムを開発・運用してきました。衛星データそのものの解析・サービス提供実績は現時点では限定的ですが、時空間データや不確実性を業務上の制約・リスクシナリオへ変換し、実行可能な意思決定へ接続する技術と実装経験を有しています。今後は、SAR・光学衛星等から得られる地盤変位、浸水、道路閉塞、土地利用変化等の情報を、輸送・配船・復旧資源配分・点検計画の最適化に取り込みたいと考えています。衛星データの選定、前処理、変化検知・被害推定については専門性を持つパートナーと補完関係を構築し、解析結果を現場で使える計画・判断へつなげる役割を担いたいと考えています。</x:v>
      </x:c>
      <x:c r="E5" s="44" t="n">
        <x:f>LEN(D5)</x:f>
        <x:v>392</x:v>
      </x:c>
      <x:c r="F5" s="46" t="str">
        <x:v>会社紹介資料のAI計画最適化領域と実績を基礎に、衛星解析の直接実績は限定的であることを明示。誠実さと補完ニーズを両立。</x:v>
      </x:c>
    </x:row>
    <x:row r="6" ht="235" customHeight="1">
      <x:c r="A6" s="37" t="n">
        <x:v>8</x:v>
      </x:c>
      <x:c r="B6" s="22" t="str">
        <x:v>社会インフラ分野に関する知見（課題・ニーズ）</x:v>
      </x:c>
      <x:c r="C6" s="22" t="str">
        <x:v>任意</x:v>
      </x:c>
      <x:c r="D6" s="20" t="str">
        <x:v>当社は、電力、海運、陸上輸送、港湾ロジスティクス、建設、建物設備等の社会インフラ領域で、AIによる計画最適化・業務システム開発に取り組んできました。具体的には、需要・在庫・港湾制約・船舶性能・労働条件・天候等を考慮した配船計画、車両・ドライバー制約を踏まえた陸上輸送計画、バース・ヤード・荷役機器の運用計画、発電・需給計画、建設工程や空調熱源の最適化等です。これらの現場では、複雑な制約条件と膨大な組合せ、熟練者への依存、データの分散、状況変化のたびに発生する再計画、コスト・安定供給・労働負荷・CO2削減の同時達成が共通課題です。配船領域では、計画時間を約1/60に削減し運送効率を最大約20％向上した事例、数時間を要した計画を10分に短縮した事例、天候を考慮した自動リプランにより輸送コストを5％削減した事例があります。衛星データによる広域・継続的な状況把握をこうした計画業務へ組み込むことで、平時の予防保全と災害時の迅速な再計画を高度化できると考えています。</x:v>
      </x:c>
      <x:c r="E6" s="45" t="n">
        <x:f>LEN(D6)</x:f>
        <x:v>432</x:v>
      </x:c>
      <x:c r="F6" s="47" t="str">
        <x:v>配船・輸送・港湾・電力等の社会実装実績を提示し、衛星データ活用先となる現場課題へ接続。</x:v>
      </x:c>
    </x:row>
    <x:row r="7" ht="250" customHeight="1">
      <x:c r="A7" s="37" t="n">
        <x:v>9</x:v>
      </x:c>
      <x:c r="B7" s="22" t="str">
        <x:v>自身に対する自由記述</x:v>
      </x:c>
      <x:c r="C7" s="22" t="str">
        <x:v>任意</x:v>
      </x:c>
      <x:c r="D7" s="20" t="str">
        <x:v>株式会社グリッドは、社会インフラ領域における数理最適化を中核的な強みとする技術企業です。電力、海運、物流、製造、都市交通等の現場で培ったドメイン知識を基に、需要予測、シミュレーション、デジタルツイン等も組み合わせ、複雑な業務制約や判断基準、KPIを反映した実行可能な計画を導きます。私たちの強みは、最適化エンジンの開発にとどまらず、現場データの整理・統合、シナリオ分析、結果の可視化、業務アプリケーション開発、運用定着まで一気通貫で支援できる点です。コスト、リスク、安定供給、環境負荷等のトレードオフを分かりやすく示し、「何を、いつ、どの順番で実行するか」という意思決定につなげます。共同研究では、衛星解析の成果を輸送、配船、点検、設備投資、復旧計画等の目的関数・制約条件へ落とし込み、現場で使える計画へ変換する役割を担えます。課題設定からPoC、アルゴリズム・画面開発、実証評価、社会実装まで、異なる専門性を持つパートナーと伴走したいと考えています。</x:v>
      </x:c>
      <x:c r="E7" s="45" t="n">
        <x:f>LEN(D7)</x:f>
        <x:v>426</x:v>
      </x:c>
      <x:c r="F7" s="47" t="str">
        <x:v>数理最適化を中核的な強みとして明確にしつつ、需要予測、シミュレーション、デジタルツイン、データ統合、可視化、業務アプリケーション、運用定着まで対応できる実装力を併記。</x:v>
      </x:c>
    </x:row>
    <x:row r="8" ht="405" customHeight="1">
      <x:c r="A8" s="37" t="n">
        <x:v>10</x:v>
      </x:c>
      <x:c r="B8" s="22" t="str">
        <x:v>事業化や共同研究に向けて取り組みたいこと</x:v>
      </x:c>
      <x:c r="C8" s="22" t="str">
        <x:v>任意</x:v>
      </x:c>
      <x:c r="D8" s="20" t="str">
        <x:v>① 衛星・地上データを用いた災害時のマルチモーダル輸送・インフラ復旧計画の動的最適化
本マッチングを通じてパートナーとチームを組成し、NEDO Challengeへの共同提案を検討します。SAR・光学衛星等から得られる浸水、土砂災害、地盤変位、道路閉塞、港湾周辺の変状等を、道路・港湾・交通・気象情報や車両、船舶、倉庫、人員等のデータと統合します。道路・港湾の利用可否や処理能力の変化を制約として、緊急物資、復旧要員・機材、代替ルート、陸海の輸送モード、拠点配置を動的に最適化し、複数シナリオを比較できる意思決定支援システムを構築します。衛星解析を検知・可視化で終わらせず、限られた輸送能力と復旧資源の配分判断につなげ、対応時間の短縮と供給途絶の抑制を目指します。
② 衛星・点検データを用いた電柱AIP（Asset Investment Planning：設備投資計画）の最適化
電柱ごとに、設置年、材質、点検・補修履歴、ひび割れ・剥離等の劣化度、停電時の影響、重要施設への供給といった設備情報に、衛星等から得られる地盤変位、浸水、土砂災害、植生等の周辺リスクを統合し、故障確率と影響度からリスクを定量化します。その上で、予算、作業員、部材、工期、地域ごとの工事集約等の制約下で、「次にどの電柱を点検・補修・補強・建替えするか」を多年度で最適化します。衛星データは微細なひび割れを直接判定するのではなく広域の周辺リスク把握に用い、ドローン・車載画像・現地点検で設備状態を評価する想定です。費用、リスク低減、設備寿命、供給信頼度のトレードオフを可視化し、投資シナリオの比較と説明可能な優先順位づけを支援します。
③ 衛星・地上データを用いた広域除排雪リソースの動的最適化
衛星による広域の積雪分布・積雪深、気象予報、路面・交通情報、除雪車の位置・稼働状況を統合し、除雪車、作業員、融雪剤をどの地域へ配分するか、どの道路をどの順番で除雪するか、どの雪捨て場へ搬送するかを動的に最適化します。衛星データは道路一本単位の積雪を直接判定するのではなく、観測地点が少ない山間部を含む広域状況の把握と予測補正に利用し、車載・路面センサー等で道路単位の状態を補完します。病院、消防署、避難所、物流拠点等へのアクセス確保、自治体・管理区間を越えた応援車両の配分、ドライバーの勤務、車線数、梯団走行、雪捨て場容量等を制約として、豪雪時の道路啓開時間、走行不能区間、燃料・融雪剤使用量の削減を目指します。
④ 衛星・地上データを用いた防災・物流拠点配置の最適化
衛星から得られる浸水、土砂災害、地盤変位、土地利用変化等に、人口・需要、道路・港湾ネットワーク、既存施設、用地・コストの情報を統合し、物流倉庫、備蓄拠点、復旧資機材拠点等の配置・容量を最適化します。平時の配送効率と災害時の到達性・代替性を両立し、「どこに、何を、どれだけ持つか」を複数シナリオで比較できる意思決定支援を目指します。
いずれの案でも、当社は課題整理、数理モデル化、シミュレーション・最適化、可視化・業務アプリケーション、実証設計を担当し、マッチング先には衛星解析、設備・現場データ、実証フィールド、現場評価の知見を期待します。対象地域、利用データ、役割分担、評価指標を共同で具体化し、コンテスト後の共同研究・事業化にもつなげたいと考えています。</x:v>
      </x:c>
      <x:c r="E8" s="45" t="n">
        <x:f>LEN(D8)</x:f>
        <x:v>1404</x:v>
      </x:c>
      <x:c r="F8" s="47" t="str">
        <x:v>①災害時輸送・復旧、②電柱AIP、③広域除排雪に、④防災・物流拠点配置を追加。④は衛星由来の災害リスクと需要・交通・用地情報を統合し、平時効率と災害時レジリエンスを両立する配置・容量計画とした。</x:v>
      </x:c>
    </x:row>
    <x:row r="9" ht="235" customHeight="1">
      <x:c r="A9" s="37" t="n">
        <x:v>11</x:v>
      </x:c>
      <x:c r="B9" s="22" t="str">
        <x:v>希望するマッチング先</x:v>
      </x:c>
      <x:c r="C9" s="22" t="str">
        <x:v>必須</x:v>
      </x:c>
      <x:c r="D9" s="20" t="str">
        <x:v>【共同応募に関する必須要件】
・本マッチングを、NEDO Challengeへのチーム応募を具体化する機会と捉え、応募期限までに提案内容、応募体制、代表者、役割分担、開発・評価計画を協議できる方。
・以下の①または②の専門性・環境を提供できる大学、研究機関、企業、自治体・事業者の方。
①衛星データ技術：SARまたは光学衛星を用いた浸水・土砂災害・地盤変位・道路閉塞・構造物／周辺環境の変化検知に知見があり、解析結果の精度、不確実性、更新頻度を説明できること。
②現場・データ：道路、港湾、物流、自治体、防災、インフラ管理の実務知見を持ち、対象施設・地域の台帳、交通・運用実績、過去災害・対応記録、制約条件等を可能な範囲で共有し、実証フィールドまたは現場評価に協力できること。
【歓迎要件】
・PLATEAU、GIS、地上センサ、気象・交通データとの統合、被害推定、データAPI化に知見がある方。
・コンテスト後の共同研究・事業化も見据え、知財、データ利用条件、成果公表等を協議できる方。
【想定する役割と進め方】
当社は課題整理、数理モデル化、シミュレーション・最適化エンジン、業務アプリケーション、実証設計を担当します。マッチング先には衛星解析または現場知見・検証環境の提供を期待します。初期は週1回・60分程度のオンライン打合せと各者1名以上の担当者配置を目安に、応募期限までに共同提案の骨子と実施体制をまとめることを希望します。</x:v>
      </x:c>
      <x:c r="E9" s="45" t="n">
        <x:f>LEN(D9)</x:f>
        <x:v>620</x:v>
      </x:c>
      <x:c r="F9" s="47" t="str">
        <x:v>専門性だけでなく、共同応募の意思、応募期限までに決める事項、想定役割・コミットメントを明示し、チーム候補が適合性を判断しやすく整理。</x:v>
      </x:c>
    </x:row>
    <x:row r="10" ht="235" customHeight="1">
      <x:c r="A10" s="37" t="n">
        <x:v>12</x:v>
      </x:c>
      <x:c r="B10" s="22" t="str">
        <x:v>懸念事項・共有事項等</x:v>
      </x:c>
      <x:c r="C10" s="22" t="str">
        <x:v>任意</x:v>
      </x:c>
      <x:c r="D10" s="20" t="str">
        <x:v>正式な共同応募に先立ち、初回協議で提案テーマ、応募代表者・参加メンバー、各者の役割、応募書類の作成分担、一次審査通過後に投入可能な人員・開発環境を確認したいと考えています。その上で、①背景知財と共同開発で生じる成果知財の帰属・利用条件、②データの利用目的・保管場所・アクセス権・削除方法、③成果公表・対外発表、④開発・実証費用の負担、⑤コンテスト後の共同研究・事業化方針を協議できれば幸いです。施設情報、運用データ、未公開アルゴリズム等の機密情報を共有する場合は、共有前に必要に応じて相互の秘密保持契約（NDA）を締結します。当社はプロジェクト責任者、最適化／AI担当、データ・アプリケーション担当を中心とする体制を想定し、衛星解析担当および現場・評価担当と一体で進めます。機微なインフラ情報については、匿名化・集約化や閉域／指定環境での解析にも対応を検討します。共同応募、データ提供、対外公表は各社・各機関の社内手続きと承認を前提とし、マッチング後、応募期限を踏まえて速やかに合意事項を整理したいと考えています。</x:v>
      </x:c>
      <x:c r="E10" s="45" t="n">
        <x:f>LEN(D10)</x:f>
        <x:v>457</x:v>
      </x:c>
      <x:c r="F10" s="47" t="str">
        <x:v>一般的な共同研究条件に加え、応募代表者、書類分担、一次審査通過後の体制、費用負担など、共同応募前に合意すべき事項を明確化。</x:v>
      </x:c>
    </x:row>
    <x:row r="11" ht="235" customHeight="1">
      <x:c r="A11" s="37" t="n">
        <x:v>13</x:v>
      </x:c>
      <x:c r="B11" s="22" t="str">
        <x:v>関心のあるテーマ</x:v>
      </x:c>
      <x:c r="C11" s="22" t="str">
        <x:v>必須</x:v>
      </x:c>
      <x:c r="D11" s="20" t="str">
        <x:v>☑ インフラマネジメント及び都市活動における課題解決に資する技術開発
☑ インフラに係る防災・災害対応における課題解決に資する技術開発
第一優先：防災・災害対応／第二優先：インフラマネジメント</x:v>
      </x:c>
      <x:c r="E11" s="45" t="n">
        <x:f>LEN(D11)</x:f>
        <x:v>97</x:v>
      </x:c>
      <x:c r="F11" s="47" t="str">
        <x:v>主提案はテーマ2に直結し、平時のBCP・点検・広域管理としてテーマ1にも展開可能。</x:v>
      </x:c>
    </x:row>
    <x:row r="13" ht="48" customHeight="1">
      <x:c r="A13" s="33" t="str">
        <x:v>提出前に確認：①衛星データの直接利用実績が別途あればQ7に追記、②事例数値の外部開示可否、③Q10の対象災害・実証地域、④共同応募の代表者・参加メンバー・応募書類分担、⑤Q11の週次コミットメント、⑥Q12の社内標準契約・知財・情報セキュリティ要件。</x:v>
      </x:c>
      <x:c r="B13" s="34"/>
      <x:c r="C13" s="34"/>
      <x:c r="D13" s="34"/>
      <x:c r="E13" s="34"/>
      <x:c r="F13" s="35"/>
    </x:row>
  </x:sheetData>
  <x:mergeCells>
    <x:mergeCell ref="A1:F1"/>
    <x:mergeCell ref="A2:F2"/>
    <x:mergeCell ref="A13:F13"/>
  </x:mergeCells>
  <x:conditionalFormatting sqref="C5:C11">
    <x:cfRule type="expression" dxfId="1" priority="1">
      <x:formula>C5="必須"</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57" hidden="0" customWidth="1"/>
    <x:col min="4" max="4" width="47" hidden="0" customWidth="1"/>
    <x:col min="5" max="5" width="13" hidden="0" customWidth="1"/>
    <x:col min="6" max="6" width="45" hidden="0" customWidth="1"/>
  </x:cols>
  <x:sheetData>
    <x:row r="1" ht="30" customHeight="1">
      <x:c r="A1" s="3" t="str">
        <x:v>代替案・提出前の確認事項</x:v>
      </x:c>
      <x:c r="B1" s="3"/>
      <x:c r="C1" s="3"/>
      <x:c r="D1" s="3"/>
      <x:c r="E1" s="3"/>
      <x:c r="F1" s="3"/>
    </x:row>
    <x:row r="2" ht="38" customHeight="1">
      <x:c r="A2" s="7" t="str">
        <x:v>推奨案を強くするための選択肢と、断定前に確認したい事項です。確認状態はプルダウンで更新できます。</x:v>
      </x:c>
      <x:c r="B2" s="7"/>
      <x:c r="C2" s="7"/>
      <x:c r="D2" s="7"/>
      <x:c r="E2" s="7"/>
      <x:c r="F2" s="7"/>
    </x:row>
    <x:row r="4">
      <x:c r="A4" s="13" t="str">
        <x:v>区分</x:v>
      </x:c>
      <x:c r="B4" s="13" t="str">
        <x:v>対象</x:v>
      </x:c>
      <x:c r="C4" s="13" t="str">
        <x:v>提案・確認事項</x:v>
      </x:c>
      <x:c r="D4" s="13" t="str">
        <x:v>推奨判断</x:v>
      </x:c>
      <x:c r="E4" s="13" t="str">
        <x:v>確認状態</x:v>
      </x:c>
      <x:c r="F4" s="13" t="str">
        <x:v>理由・影響</x:v>
      </x:c>
    </x:row>
    <x:row r="5" ht="90" customHeight="1">
      <x:c r="A5" s="21" t="str">
        <x:v>要確認</x:v>
      </x:c>
      <x:c r="B5" s="21" t="str">
        <x:v>Q7</x:v>
      </x:c>
      <x:c r="C5" s="19" t="str">
        <x:v>GRIDとして衛星画像、GIS、リモートセンシング、位置情報データを直接扱った社外開示可能な案件・研究があるか。</x:v>
      </x:c>
      <x:c r="D5" s="19" t="str">
        <x:v>実績があれば案件名を伏せた形でも1文追記。なければ現案を維持。</x:v>
      </x:c>
      <x:c r="E5" s="21" t="str">
        <x:v>要確認</x:v>
      </x:c>
      <x:c r="F5" s="19" t="str">
        <x:v>直接実績があれば技術シーズとしての説得力が大きく上がる。一方、推測で補うのは避ける。</x:v>
      </x:c>
    </x:row>
    <x:row r="6" ht="90" customHeight="1">
      <x:c r="A6" s="22" t="str">
        <x:v>要確認</x:v>
      </x:c>
      <x:c r="B6" s="22" t="str">
        <x:v>Q8</x:v>
      </x:c>
      <x:c r="C6" s="20" t="str">
        <x:v>配船・輸送事例の効果数値（約1/60、最大約20％、10分、5％）を本フォームで外部共有してよいか。</x:v>
      </x:c>
      <x:c r="D6" s="20" t="str">
        <x:v>会社紹介資料が対外配布可能なら維持。難しければ定性的表現へ置換。</x:v>
      </x:c>
      <x:c r="E6" s="22" t="str">
        <x:v>要確認</x:v>
      </x:c>
      <x:c r="F6" s="20" t="str">
        <x:v>参加者情報は他参加者へ共有されるため、公開範囲を確認する。</x:v>
      </x:c>
    </x:row>
    <x:row r="7" ht="90" customHeight="1">
      <x:c r="A7" s="22" t="str">
        <x:v>反映案</x:v>
      </x:c>
      <x:c r="B7" s="22" t="str">
        <x:v>Q10</x:v>
      </x:c>
      <x:c r="C7" s="20" t="str">
        <x:v>電柱AIP型</x:v>
      </x:c>
      <x:c r="D7" s="20" t="str">
        <x:v>設備状態、故障影響、衛星による周辺リスクを統合し、予算・人員等の制約下で点検・補修・補強・建替えの多年度計画を最適化。</x:v>
      </x:c>
      <x:c r="E7" s="22" t="str">
        <x:v>反映済</x:v>
      </x:c>
      <x:c r="F7" s="20" t="str">
        <x:v>AIPの本質である費用・リスク・性能のトレードオフと、衛星／近接点検の役割分担を明示。</x:v>
      </x:c>
    </x:row>
    <x:row r="8" ht="90" customHeight="1">
      <x:c r="A8" s="22" t="str">
        <x:v>反映案</x:v>
      </x:c>
      <x:c r="B8" s="22" t="str">
        <x:v>Q10</x:v>
      </x:c>
      <x:c r="C8" s="20" t="str">
        <x:v>広域除排雪型</x:v>
      </x:c>
      <x:c r="D8" s="20" t="str">
        <x:v>衛星・気象・道路・車両データを統合し、除雪車・人員・融雪剤の地域配分、除雪順序、雪捨て場への搬送を動的に最適化。</x:v>
      </x:c>
      <x:c r="E8" s="22" t="str">
        <x:v>反映済</x:v>
      </x:c>
      <x:c r="F8" s="20" t="str">
        <x:v>衛星は広域状況の把握と予測補正、道路単位は車載・路面センサーで補完。自治体を越えた応援配分や重要施設へのアクセス確保まで扱う。</x:v>
      </x:c>
    </x:row>
    <x:row r="9" ht="90" customHeight="1">
      <x:c r="A9" s="22" t="str">
        <x:v>要確認</x:v>
      </x:c>
      <x:c r="B9" s="22" t="str">
        <x:v>Q10</x:v>
      </x:c>
      <x:c r="C9" s="20" t="str">
        <x:v>主提案で優先する災害種別（豪雨・洪水、土砂災害、地震等）と実証地域を選べるか。</x:v>
      </x:c>
      <x:c r="D9" s="20" t="str">
        <x:v>豪雨・洪水または土砂災害に絞り、自治体・道路・港湾の実証先に合わせる。</x:v>
      </x:c>
      <x:c r="E9" s="22" t="str">
        <x:v>要確認</x:v>
      </x:c>
      <x:c r="F9" s="20" t="str">
        <x:v>対象を絞ると必要データ、精度指標、PoC期間を具体化しやすい。</x:v>
      </x:c>
    </x:row>
    <x:row r="10" ht="90" customHeight="1">
      <x:c r="A10" s="22" t="str">
        <x:v>要確認</x:v>
      </x:c>
      <x:c r="B10" s="22" t="str">
        <x:v>Q11</x:v>
      </x:c>
      <x:c r="C10" s="20" t="str">
        <x:v>週1回60分、4〜6週間、担当者各1名以上というコミットメントを提示してよいか。</x:v>
      </x:c>
      <x:c r="D10" s="20" t="str">
        <x:v>社内リソースに合わせて調整し、数字を残す。</x:v>
      </x:c>
      <x:c r="E10" s="22" t="str">
        <x:v>要確認</x:v>
      </x:c>
      <x:c r="F10" s="20" t="str">
        <x:v>具体的なコミットメントは相手の安心材料になるが、実行可能性が必要。</x:v>
      </x:c>
    </x:row>
    <x:row r="11" ht="90" customHeight="1">
      <x:c r="A11" s="22" t="str">
        <x:v>要確認</x:v>
      </x:c>
      <x:c r="B11" s="22" t="str">
        <x:v>Q12</x:v>
      </x:c>
      <x:c r="C11" s="20" t="str">
        <x:v>GRID標準のNDA、共同研究契約、情報セキュリティ審査、クラウド利用ルールの有無。</x:v>
      </x:c>
      <x:c r="D11" s="20" t="str">
        <x:v>標準条件があればQ12をそれに合わせる。</x:v>
      </x:c>
      <x:c r="E11" s="22" t="str">
        <x:v>要確認</x:v>
      </x:c>
      <x:c r="F11" s="20" t="str">
        <x:v>マッチング段階では柔軟性を残しつつ、必須条件の見落としを防ぐ。</x:v>
      </x:c>
    </x:row>
    <x:row r="12" ht="90" customHeight="1">
      <x:c r="A12" s="22" t="str">
        <x:v>改善提案</x:v>
      </x:c>
      <x:c r="B12" s="22" t="str">
        <x:v>Q10〜Q12</x:v>
      </x:c>
      <x:c r="C12" s="20" t="str">
        <x:v>マッチングの目的を「一般的な共同研究先探し」ではなく「本コンテストへの共同応募に向けたチーム組成」と明示する。</x:v>
      </x:c>
      <x:c r="D12" s="20" t="str">
        <x:v>共同提案、応募体制、役割分担、応募後の開発・評価計画を一貫して記載。</x:v>
      </x:c>
      <x:c r="E12" s="22" t="str">
        <x:v>反映済</x:v>
      </x:c>
      <x:c r="F12" s="20" t="str">
        <x:v>公式資料のプロセス（直接交渉→チーム組成→コンテスト応募→共同研究）と回答案の位置づけを一致させる。</x:v>
      </x:c>
    </x:row>
  </x:sheetData>
  <x:mergeCells>
    <x:mergeCell ref="A1:F1"/>
    <x:mergeCell ref="A2:F2"/>
  </x:mergeCells>
  <x:conditionalFormatting sqref="E5:E12">
    <x:cfRule type="containsText" dxfId="2" priority="1" operator="containsText" text="要確認"/>
    <x:cfRule type="containsText" dxfId="3" priority="2" operator="containsText" text="確認済"/>
  </x:conditionalFormatting>
  <x:dataValidations count="1">
    <x:dataValidation type="list" sqref="E5:E12">
      <x:formula1>"要確認,検討中,確認済"</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27" hidden="0" customWidth="1"/>
    <x:col min="3" max="3" width="64" hidden="0" customWidth="1"/>
    <x:col min="4" max="4" width="23" hidden="0" customWidth="1"/>
    <x:col min="5" max="5" width="82" hidden="0" customWidth="1"/>
  </x:cols>
  <x:sheetData>
    <x:row r="1" ht="30" customHeight="1">
      <x:c r="A1" s="3" t="str">
        <x:v>出典・根拠</x:v>
      </x:c>
      <x:c r="B1" s="3"/>
      <x:c r="C1" s="3"/>
      <x:c r="D1" s="3"/>
      <x:c r="E1" s="3"/>
    </x:row>
    <x:row r="2" ht="38" customHeight="1">
      <x:c r="A2" s="7" t="str">
        <x:v>回答案の作成に使用した資料と参照箇所。URLは監査しやすいよう平文で記載しています。</x:v>
      </x:c>
      <x:c r="B2" s="7"/>
      <x:c r="C2" s="7"/>
      <x:c r="D2" s="7"/>
      <x:c r="E2" s="7"/>
    </x:row>
    <x:row r="4">
      <x:c r="A4" s="13" t="str">
        <x:v>出典</x:v>
      </x:c>
      <x:c r="B4" s="13" t="str">
        <x:v>参照箇所</x:v>
      </x:c>
      <x:c r="C4" s="13" t="str">
        <x:v>確認した内容</x:v>
      </x:c>
      <x:c r="D4" s="13" t="str">
        <x:v>主に反映した項目</x:v>
      </x:c>
      <x:c r="E4" s="13" t="str">
        <x:v>URL／ファイル</x:v>
      </x:c>
    </x:row>
    <x:row r="5" ht="70" customHeight="1">
      <x:c r="A5" s="19" t="str">
        <x:v>応募フォーム画面</x:v>
      </x:c>
      <x:c r="B5" s="19" t="str">
        <x:v>スクリーンショット 2026-07-29 9.48.30.png</x:v>
      </x:c>
      <x:c r="C5" s="19" t="str">
        <x:v>項目7〜9の設問名、記載指示、例示。</x:v>
      </x:c>
      <x:c r="D5" s="19" t="str">
        <x:v>Q7〜Q9、応募項目一覧</x:v>
      </x:c>
      <x:c r="E5" s="19" t="str">
        <x:v>/Users/abe.shuhei/Downloads/スクリーンショット 2026-07-29 9.48.30.png</x:v>
      </x:c>
    </x:row>
    <x:row r="6" ht="70" customHeight="1">
      <x:c r="A6" s="20" t="str">
        <x:v>応募フォーム画面</x:v>
      </x:c>
      <x:c r="B6" s="20" t="str">
        <x:v>スクリーンショット 2026-07-29 9.48.45.png</x:v>
      </x:c>
      <x:c r="C6" s="20" t="str">
        <x:v>項目10〜13の設問名、必須表示、記載指示、テーマ選択肢。</x:v>
      </x:c>
      <x:c r="D6" s="20" t="str">
        <x:v>Q10〜Q13、応募項目一覧</x:v>
      </x:c>
      <x:c r="E6" s="20" t="str">
        <x:v>/Users/abe.shuhei/Downloads/スクリーンショット 2026-07-29 9.48.45.png</x:v>
      </x:c>
    </x:row>
    <x:row r="7" ht="70" customHeight="1">
      <x:c r="A7" s="20" t="str">
        <x:v>会社紹介資料</x:v>
      </x:c>
      <x:c r="B7" s="20" t="str">
        <x:v>P.2〜12</x:v>
      </x:c>
      <x:c r="C7" s="20" t="str">
        <x:v>会社概要、AI計画最適化の価値、陸上輸送・配船・拠点配置・生産・人員・港湾ロジスティクスの機能。</x:v>
      </x:c>
      <x:c r="D7" s="20" t="str">
        <x:v>Q7〜Q10</x:v>
      </x:c>
      <x:c r="E7" s="20" t="str">
        <x:v>/Users/abe.shuhei/Downloads/製造_運輸分野での取組みご紹介_最終盤.pptx</x:v>
      </x:c>
    </x:row>
    <x:row r="8" ht="70" customHeight="1">
      <x:c r="A8" s="20" t="str">
        <x:v>会社紹介資料</x:v>
      </x:c>
      <x:c r="B8" s="20" t="str">
        <x:v>P.13〜18</x:v>
      </x:c>
      <x:c r="C8" s="20" t="str">
        <x:v>輸送、配船、拠点配置の事例と効果（計画時間、運送効率、GHG、輸送コスト、自動リプラン）。</x:v>
      </x:c>
      <x:c r="D8" s="20" t="str">
        <x:v>Q8〜Q10</x:v>
      </x:c>
      <x:c r="E8" s="20" t="str">
        <x:v>/Users/abe.shuhei/Downloads/製造_運輸分野での取組みご紹介_最終盤.pptx</x:v>
      </x:c>
    </x:row>
    <x:row r="9" ht="70" customHeight="1">
      <x:c r="A9" s="20" t="str">
        <x:v>会社紹介資料</x:v>
      </x:c>
      <x:c r="B9" s="20" t="str">
        <x:v>P.21〜29</x:v>
      </x:c>
      <x:c r="C9" s="20" t="str">
        <x:v>港湾ロジスティクス、電力、建設、空調、需要予測、量子機械学習等の実装・協業事例。</x:v>
      </x:c>
      <x:c r="D9" s="20" t="str">
        <x:v>Q8、Q9</x:v>
      </x:c>
      <x:c r="E9" s="20" t="str">
        <x:v>/Users/abe.shuhei/Downloads/製造_運輸分野での取組みご紹介_最終盤.pptx</x:v>
      </x:c>
    </x:row>
    <x:row r="10" ht="70" customHeight="1">
      <x:c r="A10" s="20" t="str">
        <x:v>応募書類</x:v>
      </x:c>
      <x:c r="B10" s="20" t="str">
        <x:v>P.16〜18</x:v>
      </x:c>
      <x:c r="C10" s="20" t="str">
        <x:v>量子制御、量子機械学習、深層強化学習、確率最適化、QAOA、デジタルツイン、電力会社との連携、産学連携。</x:v>
      </x:c>
      <x:c r="D10" s="20" t="str">
        <x:v>Q9</x:v>
      </x:c>
      <x:c r="E10" s="20" t="str">
        <x:v>/Users/abe.shuhei/Downloads/応募書類.pdf</x:v>
      </x:c>
    </x:row>
    <x:row r="11" ht="70" customHeight="1">
      <x:c r="A11" s="20" t="str">
        <x:v>NEDO Challenge 公式サイト</x:v>
      </x:c>
      <x:c r="B11" s="20" t="str">
        <x:v>ABOUT／THEME／Matching Program</x:v>
      </x:c>
      <x:c r="C11" s="20" t="str">
        <x:v>衛星データと各種センサによるインフラ維持管理・防災高度化、2テーマ、提供データ、マッチング目的。</x:v>
      </x:c>
      <x:c r="D11" s="20" t="str">
        <x:v>Q10〜Q13</x:v>
      </x:c>
      <x:c r="E11" s="20" t="str">
        <x:v>https://space-data-challenge.nedo.go.jp/infrastructure/</x:v>
      </x:c>
    </x:row>
    <x:row r="12" ht="70" customHeight="1">
      <x:c r="A12" s="20" t="str">
        <x:v>公式マッチング資料</x:v>
      </x:c>
      <x:c r="B12" s="20" t="str">
        <x:v>画像1〜3</x:v>
      </x:c>
      <x:c r="C12" s="20" t="str">
        <x:v>コンテスト参加を促す制度であり、マッチング後は直接交渉し、チーム組成・コンテスト応募・その先の共同研究へ進むプロセス。</x:v>
      </x:c>
      <x:c r="D12" s="20" t="str">
        <x:v>全体、特にQ10〜Q12</x:v>
      </x:c>
      <x:c r="E12" s="20" t="str">
        <x:v>https://space-data-challenge.nedo.go.jp/infrastructure/img/01.jpg</x:v>
      </x:c>
    </x:row>
    <x:row r="13" ht="60" customHeight="1">
      <x:c r="A13" s="49" t="str">
        <x:v>GRID公式サイト</x:v>
      </x:c>
      <x:c r="B13" s="49" t="str">
        <x:v>Future Design Lab</x:v>
      </x:c>
      <x:c r="C13" s="49" t="str">
        <x:v>電力・海運・製造等で実証された数理最適化、業界横断のドメイン知識、現場の判断基準・制約のモデル化、PoCから業務実装までの一貫支援。</x:v>
      </x:c>
      <x:c r="D13" s="49" t="str">
        <x:v>Q9</x:v>
      </x:c>
      <x:c r="E13" s="49" t="str">
        <x:v>https://ae.gridpredict.jp/l/1082793/2026-02-08/lvdk15</x:v>
      </x:c>
    </x:row>
    <x:row r="14" ht="60" customHeight="1">
      <x:c r="A14" s="49" t="str">
        <x:v>GRID公式サイト</x:v>
      </x:c>
      <x:c r="B14" s="49" t="str">
        <x:v>Gurobiとの戦略的パートナーシップ</x:v>
      </x:c>
      <x:c r="C14" s="49" t="str">
        <x:v>社会インフラの最適化に特化した専門性、電力需給・配船・交通計画等の複雑な組合せ最適化、デジタルツインとの統合。</x:v>
      </x:c>
      <x:c r="D14" s="49" t="str">
        <x:v>Q9</x:v>
      </x:c>
      <x:c r="E14" s="49" t="str">
        <x:v>https://gridpredict.jp/news/20251007</x:v>
      </x:c>
    </x:row>
    <x:row r="15" ht="60" customHeight="1">
      <x:c r="A15" s="49" t="str">
        <x:v>三菱電機公式サイト</x:v>
      </x:c>
      <x:c r="B15" s="49" t="str">
        <x:v>設備資産管理／AIPM</x:v>
      </x:c>
      <x:c r="C15" s="49" t="str">
        <x:v>設備状態と故障影響からリスクを評価し、予算・人員・資材等の制約下で設備投資計画を最適化するAIPMの考え方。</x:v>
      </x:c>
      <x:c r="D15" s="49" t="str">
        <x:v>Q10②</x:v>
      </x:c>
      <x:c r="E15" s="49" t="str">
        <x:v>https://www.mitsubishielectric.co.jp/ict-power-system/business/solution9/</x:v>
      </x:c>
    </x:row>
    <x:row r="16" ht="60" customHeight="1">
      <x:c r="A16" s="49" t="str">
        <x:v>東京電力パワーグリッド公式サイト</x:v>
      </x:c>
      <x:c r="B16" s="49" t="str">
        <x:v>コンクリート柱劣化診断</x:v>
      </x:c>
      <x:c r="C16" s="49" t="str">
        <x:v>ひび割れ、剥離、風化、錆汁等を診断し、劣化度に応じて補修・補強・建替えを提案する電柱保全の実務。</x:v>
      </x:c>
      <x:c r="D16" s="49" t="str">
        <x:v>Q10②</x:v>
      </x:c>
      <x:c r="E16" s="49" t="str">
        <x:v>https://www.tepco.co.jp/pg/consignment/partners/category-e/11-j.html</x:v>
      </x:c>
    </x:row>
    <x:row r="17" ht="60" customHeight="1">
      <x:c r="A17" s="49" t="str">
        <x:v>EPRI公式サイト</x:v>
      </x:c>
      <x:c r="B17" s="49" t="str">
        <x:v>Overhead Asset Analytics</x:v>
      </x:c>
      <x:c r="C17" s="49" t="str">
        <x:v>設備状態、保守記録、経年、劣化研究、ドメイン知識を用いて保守・交換の必要性を順位づけし、点検・投資を優先する考え方。</x:v>
      </x:c>
      <x:c r="D17" s="49" t="str">
        <x:v>Q10②</x:v>
      </x:c>
      <x:c r="E17" s="49" t="str">
        <x:v>https://transmission.epri.com/p34_analytics/public/p34003_overhead_asset_analytics/overview/</x:v>
      </x:c>
    </x:row>
    <x:row r="18" ht="60" customHeight="1">
      <x:c r="A18" s="49" t="str">
        <x:v>JAXA公式サイト</x:v>
      </x:c>
      <x:c r="B18" s="49" t="str">
        <x:v>積雪・雪氷プロダクト</x:v>
      </x:c>
      <x:c r="C18" s="49" t="str">
        <x:v>衛星観測から積雪域、積雪深、積雪水量等の広域情報を提供。除排雪案では道路単位の判定ではなく、広域状況の把握と予測補正に利用する。</x:v>
      </x:c>
      <x:c r="D18" s="49" t="str">
        <x:v>Q10③</x:v>
      </x:c>
      <x:c r="E18" s="49" t="str">
        <x:v>https://earth.jaxa.jp/ja/data/products/snow-cover/index.html</x:v>
      </x:c>
    </x:row>
    <x:row r="19" ht="60" customHeight="1">
      <x:c r="A19" s="49" t="str">
        <x:v>米国連邦道路庁（FHWA）</x:v>
      </x:c>
      <x:c r="B19" s="49" t="str">
        <x:v>Dynamic Snowplow Routing</x:v>
      </x:c>
      <x:c r="C19" s="49" t="str">
        <x:v>車両位置、積雪深、気象、交通等を用い、交通影響を抑える除雪ルートを動的に最適化する考え方。</x:v>
      </x:c>
      <x:c r="D19" s="49" t="str">
        <x:v>Q10③</x:v>
      </x:c>
      <x:c r="E19" s="49" t="str">
        <x:v>https://ops.fhwa.dot.gov/publications/fhwahop20060/ch5.htm</x:v>
      </x:c>
    </x:row>
    <x:row r="20" ht="60" customHeight="1">
      <x:c r="A20" s="49" t="str">
        <x:v>国土交通省 PLATEAU</x:v>
      </x:c>
      <x:c r="B20" s="49" t="str">
        <x:v>降雪・積雪・融雪シミュレーション</x:v>
      </x:c>
      <x:c r="C20" s="49" t="str">
        <x:v>気象・積雪モデルと都市データを用い、除雪優先度や資源配分の判断を支援するユースケース。</x:v>
      </x:c>
      <x:c r="D20" s="49" t="str">
        <x:v>Q10③</x:v>
      </x:c>
      <x:c r="E20" s="49" t="str">
        <x:v>https://www.mlit.go.jp/plateau/use-case/uc25-01/</x:v>
      </x:c>
    </x:row>
  </x:sheetData>
  <x:mergeCells>
    <x:mergeCell ref="A1:E1"/>
    <x:mergeCell ref="A2:E2"/>
  </x:mergeCells>
  <x:pageMargins left="0.7" right="0.7" top="0.75" bottom="0.75" header="0.3" footer="0.3"/>
</x:worksheet>
</file>